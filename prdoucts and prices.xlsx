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Calculator" sheetId="1" r:id="rId5"/>
    <sheet state="visible" name="Product ID + Prices" sheetId="2" r:id="rId6"/>
    <sheet state="visible" name="HelperData" sheetId="3" r:id="rId7"/>
  </sheets>
  <definedNames/>
  <calcPr/>
</workbook>
</file>

<file path=xl/sharedStrings.xml><?xml version="1.0" encoding="utf-8"?>
<sst xmlns="http://schemas.openxmlformats.org/spreadsheetml/2006/main" count="562" uniqueCount="135">
  <si>
    <t>REP NAME</t>
  </si>
  <si>
    <t>PATIENT NAME</t>
  </si>
  <si>
    <t>PATIENT EMAIL</t>
  </si>
  <si>
    <t>please only edit white cells</t>
  </si>
  <si>
    <t>BPC 157 + TB-500 + GHK-CU</t>
  </si>
  <si>
    <t>Product</t>
  </si>
  <si>
    <t>Dose &amp; Form</t>
  </si>
  <si>
    <t>Quantity</t>
  </si>
  <si>
    <t>AOD-9404</t>
  </si>
  <si>
    <t>Product Price</t>
  </si>
  <si>
    <t>AOD-9604</t>
  </si>
  <si>
    <t>Line Total</t>
  </si>
  <si>
    <t/>
  </si>
  <si>
    <t>Bacteriostatic Water</t>
  </si>
  <si>
    <t>Subtotal</t>
  </si>
  <si>
    <t>If there is a problem with this form contact manning@texbiomed.us</t>
  </si>
  <si>
    <t>BPC 157 + TB-500 + GHK-CU + KPV (KLOW)</t>
  </si>
  <si>
    <t>Discount (flat)</t>
  </si>
  <si>
    <t>BPC-157</t>
  </si>
  <si>
    <t>Discount (%)</t>
  </si>
  <si>
    <t>BPC-157 + TB-500</t>
  </si>
  <si>
    <t>TOTAL</t>
  </si>
  <si>
    <t>Cagrilintide</t>
  </si>
  <si>
    <t>Cagrillintide</t>
  </si>
  <si>
    <t>Cerebrolysin</t>
  </si>
  <si>
    <t>CJC (no DAC) Ipamorelin</t>
  </si>
  <si>
    <t>CJC no DAC</t>
  </si>
  <si>
    <t>CJC-1295 +Ipamorelin</t>
  </si>
  <si>
    <t>CJC-1295 w/DAC</t>
  </si>
  <si>
    <t>Dihexa</t>
  </si>
  <si>
    <t>DSIP</t>
  </si>
  <si>
    <t>Epithalon</t>
  </si>
  <si>
    <t>q</t>
  </si>
  <si>
    <t>Follistatin</t>
  </si>
  <si>
    <t>Fox-04</t>
  </si>
  <si>
    <t>GHK-CU</t>
  </si>
  <si>
    <t>GHK-Cu</t>
  </si>
  <si>
    <t>GLOW (BPC-157 + TB-500 + GHK)</t>
  </si>
  <si>
    <t>Glutathione</t>
  </si>
  <si>
    <t>IGF-1 LR3</t>
  </si>
  <si>
    <t>IGF1-LR3</t>
  </si>
  <si>
    <t>Ipamorelin</t>
  </si>
  <si>
    <t>Kisspeptin</t>
  </si>
  <si>
    <t>KLOW (KPV+BPC-157+TB-500+GHK)</t>
  </si>
  <si>
    <t>KPV</t>
  </si>
  <si>
    <t>LL-137</t>
  </si>
  <si>
    <t>LL-37</t>
  </si>
  <si>
    <t>Melanotan-I</t>
  </si>
  <si>
    <t>Melanotan-II</t>
  </si>
  <si>
    <t>Melontan I</t>
  </si>
  <si>
    <t>Melontan II</t>
  </si>
  <si>
    <t>MOTS-C</t>
  </si>
  <si>
    <t>NAD+</t>
  </si>
  <si>
    <t>Oxytocin</t>
  </si>
  <si>
    <t>PEG-MGF</t>
  </si>
  <si>
    <t>PT-141</t>
  </si>
  <si>
    <t>Retatrutide</t>
  </si>
  <si>
    <t>Selank</t>
  </si>
  <si>
    <t>Semaglutide</t>
  </si>
  <si>
    <t>Semax</t>
  </si>
  <si>
    <t>Semorelin</t>
  </si>
  <si>
    <t>Sermorelin</t>
  </si>
  <si>
    <t>SLU-PP-332</t>
  </si>
  <si>
    <t>SS-31</t>
  </si>
  <si>
    <t>TB-500</t>
  </si>
  <si>
    <t>Tesamorelin</t>
  </si>
  <si>
    <t>Tesamorelin + Ipamorelin + MOTS-C</t>
  </si>
  <si>
    <t>Tesamorelin/Ipamorelin</t>
  </si>
  <si>
    <t>Thymosin Alpha-1</t>
  </si>
  <si>
    <t>Thymosin Alpha-1 + KPV + LL-37</t>
  </si>
  <si>
    <t>Thymoxin Alpha-1</t>
  </si>
  <si>
    <t>Tirzepatide</t>
  </si>
  <si>
    <t xml:space="preserve"> ID #</t>
  </si>
  <si>
    <t xml:space="preserve"> Product</t>
  </si>
  <si>
    <t xml:space="preserve"> Dose</t>
  </si>
  <si>
    <t xml:space="preserve"> Price</t>
  </si>
  <si>
    <t xml:space="preserve"> Form</t>
  </si>
  <si>
    <t xml:space="preserve"> Delivery</t>
  </si>
  <si>
    <t>5-Amino-1MQ</t>
  </si>
  <si>
    <t>50mg</t>
  </si>
  <si>
    <t>Lyophilized</t>
  </si>
  <si>
    <t>pen</t>
  </si>
  <si>
    <t>10 mg</t>
  </si>
  <si>
    <t>5mg</t>
  </si>
  <si>
    <t>injection</t>
  </si>
  <si>
    <t>10mg (10ml)</t>
  </si>
  <si>
    <t>Liquid</t>
  </si>
  <si>
    <t>3mL</t>
  </si>
  <si>
    <t>10mL</t>
  </si>
  <si>
    <t>10mg/10mg/50 mg (10ml)</t>
  </si>
  <si>
    <t>5mg/5mg/50mg/5mg</t>
  </si>
  <si>
    <t>10mg/10mg/50mg/10mg (10ml)</t>
  </si>
  <si>
    <t>500mcg</t>
  </si>
  <si>
    <t>capsules</t>
  </si>
  <si>
    <t>5 mg</t>
  </si>
  <si>
    <t>20mg (10ml)</t>
  </si>
  <si>
    <t>5mg/5mg</t>
  </si>
  <si>
    <t>10mg/10mg (10ml)</t>
  </si>
  <si>
    <t>15mg/15mg</t>
  </si>
  <si>
    <t>10mg/10mg</t>
  </si>
  <si>
    <t xml:space="preserve">5 mg </t>
  </si>
  <si>
    <t>25mg (5ml)</t>
  </si>
  <si>
    <t>60 mg</t>
  </si>
  <si>
    <t>10mg</t>
  </si>
  <si>
    <t>2mg</t>
  </si>
  <si>
    <t>5mg (10ml)</t>
  </si>
  <si>
    <t>60mg (6ml)</t>
  </si>
  <si>
    <t>1mg</t>
  </si>
  <si>
    <t>50mg (10ml)</t>
  </si>
  <si>
    <t>50 mg</t>
  </si>
  <si>
    <t>10mg/10mg/50mg</t>
  </si>
  <si>
    <t>1000mg (10ml)</t>
  </si>
  <si>
    <t>1500mg</t>
  </si>
  <si>
    <t>600 mg</t>
  </si>
  <si>
    <t>1mg (10ml)</t>
  </si>
  <si>
    <t>10mg/10mg/10mg/50mg</t>
  </si>
  <si>
    <t>25mg (10ml)</t>
  </si>
  <si>
    <t>20mg</t>
  </si>
  <si>
    <t>500mg</t>
  </si>
  <si>
    <t>1000mg</t>
  </si>
  <si>
    <t>60mg (3ml)</t>
  </si>
  <si>
    <t>100mg (5ml)</t>
  </si>
  <si>
    <t>200mg (10ml)</t>
  </si>
  <si>
    <t>20 mg</t>
  </si>
  <si>
    <t>25 mg (10ml)</t>
  </si>
  <si>
    <t>50 mg (10ml)</t>
  </si>
  <si>
    <t>250mcg</t>
  </si>
  <si>
    <t>30mg (10ml)</t>
  </si>
  <si>
    <t>30mg</t>
  </si>
  <si>
    <t>10mg/5mg/10mg</t>
  </si>
  <si>
    <t>12mg/3mg</t>
  </si>
  <si>
    <t>10mg/10mg/5mg</t>
  </si>
  <si>
    <t>100 mg (5ml)</t>
  </si>
  <si>
    <t>100 mg (10ml)</t>
  </si>
  <si>
    <t>200 mg (10 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</si>
</sst>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_);[Red]\(&quot;$&quot;#,##0\)"/>
  </numFmts>
  <fonts count="8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/>
    <font>
      <color theme="1"/>
      <name val="Arial"/>
      <scheme val="minor"/>
    </font>
    <font>
      <i/>
      <sz val="8.0"/>
      <color theme="1"/>
      <name val="Arial"/>
      <scheme val="minor"/>
    </font>
    <font>
      <b/>
      <color rgb="FFFFFFFF"/>
      <name val="Arial"/>
      <scheme val="minor"/>
    </font>
    <font>
      <sz val="7.0"/>
      <color rgb="FF999999"/>
      <name val="Arial"/>
      <scheme val="minor"/>
    </font>
    <font>
      <b/>
      <sz val="13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CC"/>
        <bgColor rgb="FF0000CC"/>
      </patternFill>
    </fill>
    <fill>
      <patternFill patternType="solid">
        <fgColor rgb="FF000000"/>
        <bgColor rgb="FF000000"/>
      </patternFill>
    </fill>
    <fill>
      <patternFill patternType="solid">
        <fgColor rgb="FFF8F8FF"/>
        <bgColor rgb="FFF8F8FF"/>
      </patternFill>
    </fill>
    <fill>
      <patternFill patternType="solid">
        <fgColor rgb="FFE8E8E8"/>
        <bgColor rgb="FFE8E8E8"/>
      </patternFill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CC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CC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CC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2" numFmtId="0" xfId="0" applyBorder="1" applyFont="1"/>
    <xf borderId="0" fillId="3" fontId="3" numFmtId="0" xfId="0" applyFill="1" applyFont="1"/>
    <xf borderId="0" fillId="4" fontId="4" numFmtId="0" xfId="0" applyAlignment="1" applyFill="1" applyFont="1">
      <alignment readingOrder="0" shrinkToFit="0" vertical="center" wrapText="1"/>
    </xf>
    <xf borderId="5" fillId="4" fontId="3" numFmtId="0" xfId="0" applyAlignment="1" applyBorder="1" applyFont="1">
      <alignment readingOrder="0"/>
    </xf>
    <xf borderId="6" fillId="4" fontId="3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8" fillId="0" fontId="2" numFmtId="0" xfId="0" applyBorder="1" applyFont="1"/>
    <xf borderId="0" fillId="2" fontId="5" numFmtId="0" xfId="0" applyAlignment="1" applyFont="1">
      <alignment horizontal="right" readingOrder="0"/>
    </xf>
    <xf borderId="0" fillId="2" fontId="3" numFmtId="0" xfId="0" applyFont="1"/>
    <xf borderId="9" fillId="2" fontId="3" numFmtId="0" xfId="0" applyBorder="1" applyFont="1"/>
    <xf borderId="0" fillId="0" fontId="3" numFmtId="0" xfId="0" applyFont="1"/>
    <xf borderId="10" fillId="4" fontId="3" numFmtId="0" xfId="0" applyAlignment="1" applyBorder="1" applyFont="1">
      <alignment horizontal="left" readingOrder="0"/>
    </xf>
    <xf borderId="11" fillId="4" fontId="3" numFmtId="0" xfId="0" applyAlignment="1" applyBorder="1" applyFont="1">
      <alignment readingOrder="0"/>
    </xf>
    <xf borderId="11" fillId="4" fontId="3" numFmtId="0" xfId="0" applyBorder="1" applyFont="1"/>
    <xf borderId="12" fillId="4" fontId="3" numFmtId="0" xfId="0" applyBorder="1" applyFont="1"/>
    <xf borderId="13" fillId="4" fontId="3" numFmtId="0" xfId="0" applyBorder="1" applyFont="1"/>
    <xf borderId="10" fillId="4" fontId="3" numFmtId="1" xfId="0" applyAlignment="1" applyBorder="1" applyFont="1" applyNumberFormat="1">
      <alignment horizontal="left" readingOrder="0"/>
    </xf>
    <xf borderId="11" fillId="4" fontId="3" numFmtId="1" xfId="0" applyAlignment="1" applyBorder="1" applyFont="1" applyNumberFormat="1">
      <alignment readingOrder="0"/>
    </xf>
    <xf borderId="12" fillId="4" fontId="3" numFmtId="1" xfId="0" applyAlignment="1" applyBorder="1" applyFont="1" applyNumberFormat="1">
      <alignment readingOrder="0"/>
    </xf>
    <xf borderId="13" fillId="4" fontId="3" numFmtId="1" xfId="0" applyAlignment="1" applyBorder="1" applyFont="1" applyNumberFormat="1">
      <alignment readingOrder="0"/>
    </xf>
    <xf borderId="0" fillId="2" fontId="5" numFmtId="0" xfId="0" applyAlignment="1" applyFont="1">
      <alignment horizontal="right" readingOrder="0"/>
    </xf>
    <xf borderId="14" fillId="5" fontId="3" numFmtId="164" xfId="0" applyBorder="1" applyFill="1" applyFont="1" applyNumberFormat="1"/>
    <xf borderId="15" fillId="5" fontId="3" numFmtId="164" xfId="0" applyBorder="1" applyFont="1" applyNumberFormat="1"/>
    <xf borderId="16" fillId="5" fontId="3" numFmtId="164" xfId="0" applyBorder="1" applyFont="1" applyNumberFormat="1"/>
    <xf borderId="17" fillId="5" fontId="3" numFmtId="164" xfId="0" applyBorder="1" applyFont="1" applyNumberFormat="1"/>
    <xf borderId="10" fillId="5" fontId="3" numFmtId="164" xfId="0" applyBorder="1" applyFont="1" applyNumberFormat="1"/>
    <xf borderId="11" fillId="5" fontId="3" numFmtId="164" xfId="0" applyBorder="1" applyFont="1" applyNumberFormat="1"/>
    <xf borderId="12" fillId="5" fontId="3" numFmtId="164" xfId="0" applyBorder="1" applyFont="1" applyNumberFormat="1"/>
    <xf borderId="13" fillId="5" fontId="3" numFmtId="164" xfId="0" applyBorder="1" applyFont="1" applyNumberFormat="1"/>
    <xf borderId="0" fillId="2" fontId="5" numFmtId="0" xfId="0" applyAlignment="1" applyFont="1">
      <alignment horizontal="right"/>
    </xf>
    <xf borderId="9" fillId="5" fontId="3" numFmtId="164" xfId="0" applyBorder="1" applyFont="1" applyNumberFormat="1"/>
    <xf borderId="0" fillId="3" fontId="6" numFmtId="0" xfId="0" applyAlignment="1" applyFont="1">
      <alignment readingOrder="0"/>
    </xf>
    <xf borderId="0" fillId="2" fontId="5" numFmtId="0" xfId="0" applyAlignment="1" applyFont="1">
      <alignment readingOrder="0"/>
    </xf>
    <xf borderId="9" fillId="4" fontId="3" numFmtId="164" xfId="0" applyAlignment="1" applyBorder="1" applyFont="1" applyNumberFormat="1">
      <alignment readingOrder="0"/>
    </xf>
    <xf borderId="9" fillId="4" fontId="3" numFmtId="10" xfId="0" applyAlignment="1" applyBorder="1" applyFont="1" applyNumberFormat="1">
      <alignment readingOrder="0"/>
    </xf>
    <xf borderId="9" fillId="5" fontId="3" numFmtId="0" xfId="0" applyBorder="1" applyFont="1"/>
    <xf borderId="0" fillId="3" fontId="3" numFmtId="0" xfId="0" applyAlignment="1" applyFont="1">
      <alignment readingOrder="0"/>
    </xf>
    <xf borderId="18" fillId="2" fontId="7" numFmtId="0" xfId="0" applyAlignment="1" applyBorder="1" applyFont="1">
      <alignment readingOrder="0"/>
    </xf>
    <xf borderId="19" fillId="5" fontId="3" numFmtId="0" xfId="0" applyAlignment="1" applyBorder="1" applyFont="1">
      <alignment readingOrder="0"/>
    </xf>
    <xf borderId="19" fillId="5" fontId="3" numFmtId="0" xfId="0" applyBorder="1" applyFont="1"/>
    <xf borderId="19" fillId="5" fontId="3" numFmtId="165" xfId="0" applyBorder="1" applyFont="1" applyNumberFormat="1"/>
    <xf borderId="20" fillId="5" fontId="3" numFmtId="0" xfId="0" applyAlignment="1" applyBorder="1" applyFont="1">
      <alignment readingOrder="0"/>
    </xf>
    <xf borderId="20" fillId="5" fontId="3" numFmtId="0" xfId="0" applyBorder="1" applyFont="1"/>
    <xf borderId="20" fillId="5" fontId="3" numFmtId="165" xfId="0" applyBorder="1" applyFont="1" applyNumberFormat="1"/>
    <xf borderId="20" fillId="5" fontId="3" numFmtId="165" xfId="0" applyAlignment="1" applyBorder="1" applyFont="1" applyNumberFormat="1">
      <alignment readingOrder="0"/>
    </xf>
    <xf borderId="20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9</xdr:row>
      <xdr:rowOff>85725</xdr:rowOff>
    </xdr:from>
    <xdr:ext cx="2371725" cy="647700"/>
    <xdr:sp>
      <xdr:nvSpPr>
        <xdr:cNvPr id="3" name="Shape 3"/>
        <xdr:cNvSpPr/>
      </xdr:nvSpPr>
      <xdr:spPr>
        <a:xfrm>
          <a:off x="2182450" y="1106450"/>
          <a:ext cx="5339400" cy="1451700"/>
        </a:xfrm>
        <a:prstGeom prst="roundRect">
          <a:avLst>
            <a:gd fmla="val 20280" name="adj"/>
          </a:avLst>
        </a:prstGeom>
        <a:solidFill>
          <a:srgbClr val="0000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rPr>
            <a:t>SUBMIT FOR APPROVAL </a:t>
          </a:r>
          <a:endParaRPr b="1" sz="2800">
            <a:solidFill>
              <a:srgbClr val="FFFFFF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  <xdr:oneCellAnchor>
    <xdr:from>
      <xdr:col>0</xdr:col>
      <xdr:colOff>19050</xdr:colOff>
      <xdr:row>14</xdr:row>
      <xdr:rowOff>66675</xdr:rowOff>
    </xdr:from>
    <xdr:ext cx="1009650" cy="371475"/>
    <xdr:sp>
      <xdr:nvSpPr>
        <xdr:cNvPr id="4" name="Shape 4"/>
        <xdr:cNvSpPr/>
      </xdr:nvSpPr>
      <xdr:spPr>
        <a:xfrm>
          <a:off x="1289175" y="1847475"/>
          <a:ext cx="2720400" cy="1010100"/>
        </a:xfrm>
        <a:prstGeom prst="roundRect">
          <a:avLst>
            <a:gd fmla="val 22746" name="adj"/>
          </a:avLst>
        </a:prstGeom>
        <a:solidFill>
          <a:srgbClr val="0000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000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rPr>
            <a:t>CLEAR ALL</a:t>
          </a:r>
          <a:endParaRPr b="1" sz="3000">
            <a:solidFill>
              <a:srgbClr val="FFFFFF"/>
            </a:solidFill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1" width="18.63"/>
    <col hidden="1" min="22" max="25" width="12.63"/>
  </cols>
  <sheetData>
    <row r="1" ht="21.0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6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9.5" customHeight="1">
      <c r="A2" s="7"/>
      <c r="B2" s="8"/>
      <c r="C2" s="9"/>
      <c r="D2" s="1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8.25" customHeight="1">
      <c r="A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Y3" s="14" t="s">
        <v>4</v>
      </c>
    </row>
    <row r="4">
      <c r="A4" s="11" t="s">
        <v>5</v>
      </c>
      <c r="B4" s="15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9"/>
    </row>
    <row r="5">
      <c r="A5" s="11" t="s">
        <v>6</v>
      </c>
      <c r="B5" s="15"/>
      <c r="C5" s="16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9"/>
      <c r="Y5" s="14" t="str">
        <f t="array" ref="Y5:Y61">SORT(UNIQUE('Product ID + Prices'!B2:B61))</f>
        <v>5-Amino-1MQ</v>
      </c>
    </row>
    <row r="6">
      <c r="A6" s="11" t="s">
        <v>7</v>
      </c>
      <c r="B6" s="20">
        <v>0.0</v>
      </c>
      <c r="C6" s="21">
        <v>0.0</v>
      </c>
      <c r="D6" s="21">
        <v>0.0</v>
      </c>
      <c r="E6" s="21">
        <v>0.0</v>
      </c>
      <c r="F6" s="21">
        <v>0.0</v>
      </c>
      <c r="G6" s="21">
        <v>0.0</v>
      </c>
      <c r="H6" s="21">
        <v>0.0</v>
      </c>
      <c r="I6" s="21">
        <v>0.0</v>
      </c>
      <c r="J6" s="21">
        <v>0.0</v>
      </c>
      <c r="K6" s="21">
        <v>0.0</v>
      </c>
      <c r="L6" s="21">
        <v>0.0</v>
      </c>
      <c r="M6" s="21">
        <v>0.0</v>
      </c>
      <c r="N6" s="21">
        <v>0.0</v>
      </c>
      <c r="O6" s="21">
        <v>0.0</v>
      </c>
      <c r="P6" s="21">
        <v>0.0</v>
      </c>
      <c r="Q6" s="21">
        <v>0.0</v>
      </c>
      <c r="R6" s="21">
        <v>0.0</v>
      </c>
      <c r="S6" s="21">
        <v>0.0</v>
      </c>
      <c r="T6" s="22">
        <v>0.0</v>
      </c>
      <c r="U6" s="23">
        <v>0.0</v>
      </c>
      <c r="Y6" s="14" t="s">
        <v>8</v>
      </c>
    </row>
    <row r="7">
      <c r="A7" s="24" t="s">
        <v>9</v>
      </c>
      <c r="B7" s="25" t="str">
        <f>IFERROR(__xludf.DUMMYFUNCTION("BYCOL(B4:U5, LAMBDA(col, IF(OR(INDEX(col, 1)="""", INDEX(col, 2)=""""), """", IFERROR(VALUE(REGEXREPLACE(TO_TEXT(INDEX(FILTER('Product ID + Prices'!$D$2:$D61, 'Product ID + Prices'!$B$2:$B61=INDEX(col, 1), 'Product ID + Prices'!$C$2:$C61 &amp; "" - "" &amp; 'Prod"&amp;"uct ID + Prices'!$E$2:$E61 &amp; IF('Product ID + Prices'!$F$2:$F61=""pen"", "" (pen)"", IF('Product ID + Prices'!$F$2:$F61=""capsules"", "" (cap)"", IF('Product ID + Prices'!$F$2:$F61=""injection"", "" (inj)"", """"))) = INDEX(col, 2)), 1)), ""[^\d\.]"", """&amp;""")), """"))))"),"")</f>
        <v/>
      </c>
      <c r="C7" s="26" t="str">
        <f>IFERROR(__xludf.DUMMYFUNCTION("""COMPUTED_VALUE"""),"")</f>
        <v/>
      </c>
      <c r="D7" s="26" t="str">
        <f>IFERROR(__xludf.DUMMYFUNCTION("""COMPUTED_VALUE"""),"")</f>
        <v/>
      </c>
      <c r="E7" s="26" t="str">
        <f>IFERROR(__xludf.DUMMYFUNCTION("""COMPUTED_VALUE"""),"")</f>
        <v/>
      </c>
      <c r="F7" s="26" t="str">
        <f>IFERROR(__xludf.DUMMYFUNCTION("""COMPUTED_VALUE"""),"")</f>
        <v/>
      </c>
      <c r="G7" s="26" t="str">
        <f>IFERROR(__xludf.DUMMYFUNCTION("""COMPUTED_VALUE"""),"")</f>
        <v/>
      </c>
      <c r="H7" s="26" t="str">
        <f>IFERROR(__xludf.DUMMYFUNCTION("""COMPUTED_VALUE"""),"")</f>
        <v/>
      </c>
      <c r="I7" s="26" t="str">
        <f>IFERROR(__xludf.DUMMYFUNCTION("""COMPUTED_VALUE"""),"")</f>
        <v/>
      </c>
      <c r="J7" s="26" t="str">
        <f>IFERROR(__xludf.DUMMYFUNCTION("""COMPUTED_VALUE"""),"")</f>
        <v/>
      </c>
      <c r="K7" s="26" t="str">
        <f>IFERROR(__xludf.DUMMYFUNCTION("""COMPUTED_VALUE"""),"")</f>
        <v/>
      </c>
      <c r="L7" s="26" t="str">
        <f>IFERROR(__xludf.DUMMYFUNCTION("""COMPUTED_VALUE"""),"")</f>
        <v/>
      </c>
      <c r="M7" s="26" t="str">
        <f>IFERROR(__xludf.DUMMYFUNCTION("""COMPUTED_VALUE"""),"")</f>
        <v/>
      </c>
      <c r="N7" s="26" t="str">
        <f>IFERROR(__xludf.DUMMYFUNCTION("""COMPUTED_VALUE"""),"")</f>
        <v/>
      </c>
      <c r="O7" s="26" t="str">
        <f>IFERROR(__xludf.DUMMYFUNCTION("""COMPUTED_VALUE"""),"")</f>
        <v/>
      </c>
      <c r="P7" s="26" t="str">
        <f>IFERROR(__xludf.DUMMYFUNCTION("""COMPUTED_VALUE"""),"")</f>
        <v/>
      </c>
      <c r="Q7" s="26" t="str">
        <f>IFERROR(__xludf.DUMMYFUNCTION("""COMPUTED_VALUE"""),"")</f>
        <v/>
      </c>
      <c r="R7" s="26" t="str">
        <f>IFERROR(__xludf.DUMMYFUNCTION("""COMPUTED_VALUE"""),"")</f>
        <v/>
      </c>
      <c r="S7" s="26" t="str">
        <f>IFERROR(__xludf.DUMMYFUNCTION("""COMPUTED_VALUE"""),"")</f>
        <v/>
      </c>
      <c r="T7" s="27" t="str">
        <f>IFERROR(__xludf.DUMMYFUNCTION("""COMPUTED_VALUE"""),"")</f>
        <v/>
      </c>
      <c r="U7" s="28" t="str">
        <f>IFERROR(__xludf.DUMMYFUNCTION("""COMPUTED_VALUE"""),"")</f>
        <v/>
      </c>
      <c r="Y7" s="14" t="s">
        <v>10</v>
      </c>
    </row>
    <row r="8">
      <c r="A8" s="24" t="s">
        <v>11</v>
      </c>
      <c r="B8" s="29" t="str">
        <f t="array" ref="B8:U8">IF(ISNUMBER(B7:U7) * ISNUMBER(B6:U6), B7:U7 * B6:U6, "")</f>
        <v/>
      </c>
      <c r="C8" s="30" t="s">
        <v>12</v>
      </c>
      <c r="D8" s="30" t="s">
        <v>12</v>
      </c>
      <c r="E8" s="30" t="s">
        <v>12</v>
      </c>
      <c r="F8" s="30" t="s">
        <v>12</v>
      </c>
      <c r="G8" s="30" t="s">
        <v>12</v>
      </c>
      <c r="H8" s="30" t="s">
        <v>12</v>
      </c>
      <c r="I8" s="30" t="s">
        <v>12</v>
      </c>
      <c r="J8" s="30" t="s">
        <v>12</v>
      </c>
      <c r="K8" s="30" t="s">
        <v>12</v>
      </c>
      <c r="L8" s="30" t="s">
        <v>12</v>
      </c>
      <c r="M8" s="30" t="s">
        <v>12</v>
      </c>
      <c r="N8" s="30" t="s">
        <v>12</v>
      </c>
      <c r="O8" s="30" t="s">
        <v>12</v>
      </c>
      <c r="P8" s="30" t="s">
        <v>12</v>
      </c>
      <c r="Q8" s="30" t="s">
        <v>12</v>
      </c>
      <c r="R8" s="30" t="s">
        <v>12</v>
      </c>
      <c r="S8" s="30" t="s">
        <v>12</v>
      </c>
      <c r="T8" s="31" t="s">
        <v>12</v>
      </c>
      <c r="U8" s="32" t="s">
        <v>12</v>
      </c>
      <c r="Y8" s="14" t="s">
        <v>13</v>
      </c>
    </row>
    <row r="9" ht="6.75" customHeight="1">
      <c r="A9" s="3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Y9" s="14" t="s">
        <v>4</v>
      </c>
    </row>
    <row r="10">
      <c r="A10" s="24" t="s">
        <v>14</v>
      </c>
      <c r="B10" s="34">
        <f>SUM(B8:U8)</f>
        <v>0</v>
      </c>
      <c r="C10" s="5"/>
      <c r="E10" s="5"/>
      <c r="F10" s="35" t="s">
        <v>15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Y10" s="14" t="s">
        <v>16</v>
      </c>
    </row>
    <row r="11">
      <c r="A11" s="36" t="s">
        <v>17</v>
      </c>
      <c r="B11" s="37">
        <v>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Y11" s="14" t="s">
        <v>18</v>
      </c>
    </row>
    <row r="12">
      <c r="A12" s="36" t="s">
        <v>19</v>
      </c>
      <c r="B12" s="38">
        <v>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Y12" s="14" t="s">
        <v>20</v>
      </c>
    </row>
    <row r="13" ht="19.5" customHeight="1">
      <c r="A13" s="36" t="s">
        <v>21</v>
      </c>
      <c r="B13" s="39">
        <f>MAX(0, B10-B11-B10*B12)</f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Y13" s="14" t="s">
        <v>22</v>
      </c>
    </row>
    <row r="14" ht="5.25" customHeight="1">
      <c r="A14" s="12"/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Y14" s="14" t="s">
        <v>23</v>
      </c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Y15" s="14" t="s">
        <v>24</v>
      </c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Y16" s="14" t="s">
        <v>25</v>
      </c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Y17" s="14" t="s">
        <v>26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Y18" s="14" t="s">
        <v>27</v>
      </c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Y19" s="14" t="s">
        <v>28</v>
      </c>
    </row>
    <row r="20" ht="12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Y20" s="14" t="s">
        <v>29</v>
      </c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Y21" s="14" t="s">
        <v>30</v>
      </c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Y22" s="14" t="s">
        <v>31</v>
      </c>
    </row>
    <row r="23">
      <c r="A23" s="5"/>
      <c r="B23" s="5"/>
      <c r="C23" s="5"/>
      <c r="D23" s="40" t="s">
        <v>32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Y23" s="14" t="s">
        <v>33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Y24" s="14" t="s">
        <v>34</v>
      </c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Y25" s="14" t="s">
        <v>35</v>
      </c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Y26" s="14" t="s">
        <v>36</v>
      </c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Y27" s="14" t="s">
        <v>37</v>
      </c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Y28" s="14" t="s">
        <v>38</v>
      </c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Y29" s="14" t="s">
        <v>39</v>
      </c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Y30" s="14" t="s">
        <v>40</v>
      </c>
    </row>
    <row r="31" hidden="1">
      <c r="Y31" s="14" t="s">
        <v>41</v>
      </c>
    </row>
    <row r="32" hidden="1">
      <c r="Y32" s="14" t="s">
        <v>42</v>
      </c>
    </row>
    <row r="33" hidden="1">
      <c r="Y33" s="14" t="s">
        <v>43</v>
      </c>
    </row>
    <row r="34" hidden="1">
      <c r="Y34" s="14" t="s">
        <v>44</v>
      </c>
    </row>
    <row r="35" hidden="1">
      <c r="Y35" s="14" t="s">
        <v>45</v>
      </c>
    </row>
    <row r="36" hidden="1">
      <c r="Y36" s="14" t="s">
        <v>46</v>
      </c>
    </row>
    <row r="37" hidden="1">
      <c r="Y37" s="14" t="s">
        <v>47</v>
      </c>
    </row>
    <row r="38" hidden="1">
      <c r="Y38" s="14" t="s">
        <v>48</v>
      </c>
    </row>
    <row r="39" hidden="1">
      <c r="Y39" s="14" t="s">
        <v>49</v>
      </c>
    </row>
    <row r="40" hidden="1">
      <c r="Y40" s="14" t="s">
        <v>50</v>
      </c>
    </row>
    <row r="41" hidden="1">
      <c r="Y41" s="14" t="s">
        <v>51</v>
      </c>
    </row>
    <row r="42" hidden="1">
      <c r="Y42" s="14" t="s">
        <v>52</v>
      </c>
    </row>
    <row r="43" hidden="1">
      <c r="Y43" s="14" t="s">
        <v>53</v>
      </c>
    </row>
    <row r="44" hidden="1">
      <c r="Y44" s="14" t="s">
        <v>54</v>
      </c>
    </row>
    <row r="45" hidden="1">
      <c r="Y45" s="14" t="s">
        <v>55</v>
      </c>
    </row>
    <row r="46" hidden="1">
      <c r="Y46" s="14" t="s">
        <v>56</v>
      </c>
    </row>
    <row r="47" hidden="1">
      <c r="Y47" s="14" t="s">
        <v>57</v>
      </c>
    </row>
    <row r="48" hidden="1">
      <c r="Y48" s="14" t="s">
        <v>58</v>
      </c>
    </row>
    <row r="49" hidden="1">
      <c r="Y49" s="14" t="s">
        <v>59</v>
      </c>
    </row>
    <row r="50" hidden="1">
      <c r="Y50" s="14" t="s">
        <v>60</v>
      </c>
    </row>
    <row r="51" hidden="1">
      <c r="Y51" s="14" t="s">
        <v>61</v>
      </c>
    </row>
    <row r="52" hidden="1">
      <c r="Y52" s="14" t="s">
        <v>62</v>
      </c>
    </row>
    <row r="53" hidden="1">
      <c r="Y53" s="14" t="s">
        <v>63</v>
      </c>
    </row>
    <row r="54" hidden="1">
      <c r="Y54" s="14" t="s">
        <v>64</v>
      </c>
    </row>
    <row r="55" hidden="1">
      <c r="Y55" s="14" t="s">
        <v>65</v>
      </c>
    </row>
    <row r="56" hidden="1">
      <c r="Y56" s="14" t="s">
        <v>66</v>
      </c>
    </row>
    <row r="57" hidden="1">
      <c r="Y57" s="14" t="s">
        <v>67</v>
      </c>
    </row>
    <row r="58" hidden="1">
      <c r="Y58" s="14" t="s">
        <v>68</v>
      </c>
    </row>
    <row r="59" hidden="1">
      <c r="Y59" s="14" t="s">
        <v>69</v>
      </c>
    </row>
    <row r="60" hidden="1">
      <c r="Y60" s="14" t="s">
        <v>70</v>
      </c>
    </row>
    <row r="61" hidden="1">
      <c r="Y61" s="14" t="s">
        <v>71</v>
      </c>
    </row>
  </sheetData>
  <mergeCells count="4">
    <mergeCell ref="C1:D1"/>
    <mergeCell ref="C2:D2"/>
    <mergeCell ref="A3:B3"/>
    <mergeCell ref="C10:D13"/>
  </mergeCells>
  <dataValidations>
    <dataValidation type="list" allowBlank="1" sqref="I5">
      <formula1>HelperData!$H$2:$H$31</formula1>
    </dataValidation>
    <dataValidation type="list" allowBlank="1" sqref="P5">
      <formula1>HelperData!$O$2:$O$31</formula1>
    </dataValidation>
    <dataValidation type="list" allowBlank="1" sqref="D5">
      <formula1>HelperData!$C$2:$C$31</formula1>
    </dataValidation>
    <dataValidation type="list" allowBlank="1" sqref="Q5">
      <formula1>HelperData!$P$2:$P$31</formula1>
    </dataValidation>
    <dataValidation type="list" allowBlank="1" sqref="R5">
      <formula1>HelperData!$Q$2:$Q$31</formula1>
    </dataValidation>
    <dataValidation type="list" allowBlank="1" sqref="U5">
      <formula1>HelperData!$T$2:$T$31</formula1>
    </dataValidation>
    <dataValidation type="list" allowBlank="1" sqref="F5">
      <formula1>HelperData!$E$2:$E$31</formula1>
    </dataValidation>
    <dataValidation type="list" allowBlank="1" sqref="K5">
      <formula1>HelperData!$J$2:$J$31</formula1>
    </dataValidation>
    <dataValidation type="list" allowBlank="1" sqref="S5">
      <formula1>HelperData!$R$2:$R$31</formula1>
    </dataValidation>
    <dataValidation type="list" allowBlank="1" sqref="L5">
      <formula1>HelperData!$K$2:$K$31</formula1>
    </dataValidation>
    <dataValidation type="list" allowBlank="1" sqref="T5">
      <formula1>HelperData!$S$2:$S$31</formula1>
    </dataValidation>
    <dataValidation type="list" allowBlank="1" sqref="C5">
      <formula1>HelperData!$B$2:$B$31</formula1>
    </dataValidation>
    <dataValidation type="list" allowBlank="1" sqref="M5">
      <formula1>HelperData!$L$2:$L$31</formula1>
    </dataValidation>
    <dataValidation type="list" allowBlank="1" showErrorMessage="1" sqref="B4:U4">
      <formula1>'Price Calculator'!$Y$5:$Y61</formula1>
    </dataValidation>
    <dataValidation type="list" allowBlank="1" sqref="G5">
      <formula1>HelperData!$F$2:$F$31</formula1>
    </dataValidation>
    <dataValidation type="list" allowBlank="1" sqref="J5">
      <formula1>HelperData!$I$2:$I$31</formula1>
    </dataValidation>
    <dataValidation type="list" allowBlank="1" sqref="H5">
      <formula1>HelperData!$G$2:$G$31</formula1>
    </dataValidation>
    <dataValidation type="list" allowBlank="1" sqref="N5">
      <formula1>HelperData!$M$2:$M$31</formula1>
    </dataValidation>
    <dataValidation type="list" allowBlank="1" sqref="O5">
      <formula1>HelperData!$N$2:$N$31</formula1>
    </dataValidation>
    <dataValidation type="list" allowBlank="1" sqref="B5">
      <formula1>HelperData!$A$2:$A$31</formula1>
    </dataValidation>
    <dataValidation type="list" allowBlank="1" sqref="E5">
      <formula1>HelperData!$D$2:$D$31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33.38"/>
    <col customWidth="1" min="5" max="5" width="14.0"/>
    <col customWidth="1" min="6" max="6" width="15.38"/>
  </cols>
  <sheetData>
    <row r="1">
      <c r="A1" s="41" t="s">
        <v>72</v>
      </c>
      <c r="B1" s="41" t="s">
        <v>73</v>
      </c>
      <c r="C1" s="41" t="s">
        <v>74</v>
      </c>
      <c r="D1" s="41" t="s">
        <v>75</v>
      </c>
      <c r="E1" s="41" t="s">
        <v>76</v>
      </c>
      <c r="F1" s="41" t="s">
        <v>77</v>
      </c>
    </row>
    <row r="2">
      <c r="A2" s="42">
        <v>1.0</v>
      </c>
      <c r="B2" s="43" t="s">
        <v>78</v>
      </c>
      <c r="C2" s="43" t="s">
        <v>79</v>
      </c>
      <c r="D2" s="44">
        <v>99.0</v>
      </c>
      <c r="E2" s="44" t="s">
        <v>80</v>
      </c>
      <c r="F2" s="43" t="s">
        <v>81</v>
      </c>
    </row>
    <row r="3">
      <c r="A3" s="45">
        <v>2.0</v>
      </c>
      <c r="B3" s="46" t="s">
        <v>8</v>
      </c>
      <c r="C3" s="46" t="s">
        <v>82</v>
      </c>
      <c r="D3" s="47">
        <v>105.0</v>
      </c>
      <c r="E3" s="47" t="s">
        <v>80</v>
      </c>
      <c r="F3" s="46" t="s">
        <v>81</v>
      </c>
    </row>
    <row r="4">
      <c r="A4" s="45">
        <v>3.0</v>
      </c>
      <c r="B4" s="46" t="s">
        <v>10</v>
      </c>
      <c r="C4" s="46" t="s">
        <v>83</v>
      </c>
      <c r="D4" s="47">
        <v>69.0</v>
      </c>
      <c r="E4" s="47" t="s">
        <v>80</v>
      </c>
      <c r="F4" s="46" t="s">
        <v>84</v>
      </c>
    </row>
    <row r="5">
      <c r="A5" s="45">
        <v>4.0</v>
      </c>
      <c r="B5" s="46" t="s">
        <v>10</v>
      </c>
      <c r="C5" s="46" t="s">
        <v>85</v>
      </c>
      <c r="D5" s="47">
        <v>99.0</v>
      </c>
      <c r="E5" s="47" t="s">
        <v>86</v>
      </c>
      <c r="F5" s="46" t="s">
        <v>84</v>
      </c>
    </row>
    <row r="6">
      <c r="A6" s="45">
        <v>5.0</v>
      </c>
      <c r="B6" s="46" t="s">
        <v>13</v>
      </c>
      <c r="C6" s="46" t="s">
        <v>87</v>
      </c>
      <c r="D6" s="47">
        <v>9.0</v>
      </c>
      <c r="E6" s="48" t="s">
        <v>86</v>
      </c>
      <c r="F6" s="49"/>
    </row>
    <row r="7">
      <c r="A7" s="45">
        <v>6.0</v>
      </c>
      <c r="B7" s="46" t="s">
        <v>13</v>
      </c>
      <c r="C7" s="46" t="s">
        <v>88</v>
      </c>
      <c r="D7" s="47">
        <v>19.0</v>
      </c>
      <c r="E7" s="48" t="s">
        <v>86</v>
      </c>
      <c r="F7" s="49"/>
    </row>
    <row r="8">
      <c r="A8" s="45">
        <v>7.0</v>
      </c>
      <c r="B8" s="46" t="s">
        <v>4</v>
      </c>
      <c r="C8" s="46" t="s">
        <v>89</v>
      </c>
      <c r="D8" s="47">
        <v>119.0</v>
      </c>
      <c r="E8" s="47" t="s">
        <v>80</v>
      </c>
      <c r="F8" s="46" t="s">
        <v>84</v>
      </c>
    </row>
    <row r="9">
      <c r="A9" s="45">
        <v>8.0</v>
      </c>
      <c r="B9" s="46" t="s">
        <v>4</v>
      </c>
      <c r="C9" s="46" t="s">
        <v>89</v>
      </c>
      <c r="D9" s="47">
        <v>129.0</v>
      </c>
      <c r="E9" s="47" t="s">
        <v>86</v>
      </c>
      <c r="F9" s="46" t="s">
        <v>84</v>
      </c>
    </row>
    <row r="10">
      <c r="A10" s="45">
        <v>9.0</v>
      </c>
      <c r="B10" s="46" t="s">
        <v>16</v>
      </c>
      <c r="C10" s="46" t="s">
        <v>90</v>
      </c>
      <c r="D10" s="47">
        <v>139.0</v>
      </c>
      <c r="E10" s="47" t="s">
        <v>80</v>
      </c>
      <c r="F10" s="46" t="s">
        <v>84</v>
      </c>
    </row>
    <row r="11">
      <c r="A11" s="45">
        <v>10.0</v>
      </c>
      <c r="B11" s="46" t="s">
        <v>16</v>
      </c>
      <c r="C11" s="46" t="s">
        <v>91</v>
      </c>
      <c r="D11" s="47">
        <v>169.0</v>
      </c>
      <c r="E11" s="47" t="s">
        <v>86</v>
      </c>
      <c r="F11" s="49"/>
    </row>
    <row r="12">
      <c r="A12" s="45">
        <v>11.0</v>
      </c>
      <c r="B12" s="46" t="s">
        <v>18</v>
      </c>
      <c r="C12" s="46" t="s">
        <v>92</v>
      </c>
      <c r="D12" s="47">
        <v>149.0</v>
      </c>
      <c r="E12" s="47" t="s">
        <v>80</v>
      </c>
      <c r="F12" s="46" t="s">
        <v>93</v>
      </c>
    </row>
    <row r="13">
      <c r="A13" s="45">
        <v>12.0</v>
      </c>
      <c r="B13" s="46" t="s">
        <v>18</v>
      </c>
      <c r="C13" s="46" t="s">
        <v>94</v>
      </c>
      <c r="D13" s="47">
        <v>35.0</v>
      </c>
      <c r="E13" s="47" t="s">
        <v>80</v>
      </c>
      <c r="F13" s="46" t="s">
        <v>84</v>
      </c>
    </row>
    <row r="14">
      <c r="A14" s="45">
        <v>13.0</v>
      </c>
      <c r="B14" s="46" t="s">
        <v>18</v>
      </c>
      <c r="C14" s="46" t="s">
        <v>85</v>
      </c>
      <c r="D14" s="47">
        <v>55.0</v>
      </c>
      <c r="E14" s="47" t="s">
        <v>80</v>
      </c>
      <c r="F14" s="46" t="s">
        <v>84</v>
      </c>
    </row>
    <row r="15">
      <c r="A15" s="45">
        <v>14.0</v>
      </c>
      <c r="B15" s="46" t="s">
        <v>18</v>
      </c>
      <c r="C15" s="46" t="s">
        <v>85</v>
      </c>
      <c r="D15" s="47">
        <v>79.0</v>
      </c>
      <c r="E15" s="47" t="s">
        <v>86</v>
      </c>
      <c r="F15" s="46" t="s">
        <v>84</v>
      </c>
    </row>
    <row r="16">
      <c r="A16" s="45">
        <v>15.0</v>
      </c>
      <c r="B16" s="46" t="s">
        <v>18</v>
      </c>
      <c r="C16" s="46" t="s">
        <v>95</v>
      </c>
      <c r="D16" s="47">
        <v>99.0</v>
      </c>
      <c r="E16" s="47" t="s">
        <v>86</v>
      </c>
      <c r="F16" s="46" t="s">
        <v>84</v>
      </c>
    </row>
    <row r="17">
      <c r="A17" s="45">
        <v>16.0</v>
      </c>
      <c r="B17" s="46" t="s">
        <v>20</v>
      </c>
      <c r="C17" s="46" t="s">
        <v>96</v>
      </c>
      <c r="D17" s="47">
        <v>79.0</v>
      </c>
      <c r="E17" s="47" t="s">
        <v>80</v>
      </c>
      <c r="F17" s="46" t="s">
        <v>84</v>
      </c>
    </row>
    <row r="18">
      <c r="A18" s="45">
        <v>17.0</v>
      </c>
      <c r="B18" s="46" t="s">
        <v>20</v>
      </c>
      <c r="C18" s="46" t="s">
        <v>97</v>
      </c>
      <c r="D18" s="47">
        <v>139.0</v>
      </c>
      <c r="E18" s="47" t="s">
        <v>86</v>
      </c>
      <c r="F18" s="46" t="s">
        <v>84</v>
      </c>
    </row>
    <row r="19">
      <c r="A19" s="45">
        <v>18.0</v>
      </c>
      <c r="B19" s="46" t="s">
        <v>20</v>
      </c>
      <c r="C19" s="46" t="s">
        <v>98</v>
      </c>
      <c r="D19" s="47">
        <v>149.0</v>
      </c>
      <c r="E19" s="47" t="s">
        <v>80</v>
      </c>
      <c r="F19" s="46" t="s">
        <v>84</v>
      </c>
    </row>
    <row r="20">
      <c r="A20" s="45">
        <v>19.0</v>
      </c>
      <c r="B20" s="46" t="s">
        <v>20</v>
      </c>
      <c r="C20" s="46" t="s">
        <v>99</v>
      </c>
      <c r="D20" s="47">
        <v>155.0</v>
      </c>
      <c r="E20" s="47" t="s">
        <v>80</v>
      </c>
      <c r="F20" s="46" t="s">
        <v>81</v>
      </c>
    </row>
    <row r="21">
      <c r="A21" s="45">
        <v>20.0</v>
      </c>
      <c r="B21" s="49" t="s">
        <v>22</v>
      </c>
      <c r="C21" s="49" t="s">
        <v>100</v>
      </c>
      <c r="D21" s="47">
        <v>85.0</v>
      </c>
      <c r="E21" s="47" t="s">
        <v>80</v>
      </c>
      <c r="F21" s="49" t="s">
        <v>84</v>
      </c>
    </row>
    <row r="22">
      <c r="A22" s="45">
        <v>21.0</v>
      </c>
      <c r="B22" s="49" t="s">
        <v>22</v>
      </c>
      <c r="C22" s="49" t="s">
        <v>101</v>
      </c>
      <c r="D22" s="47">
        <v>250.0</v>
      </c>
      <c r="E22" s="46" t="s">
        <v>86</v>
      </c>
      <c r="F22" s="49" t="s">
        <v>84</v>
      </c>
    </row>
    <row r="23">
      <c r="A23" s="45">
        <v>22.0</v>
      </c>
      <c r="B23" s="46" t="s">
        <v>23</v>
      </c>
      <c r="C23" s="46" t="s">
        <v>82</v>
      </c>
      <c r="D23" s="47">
        <v>149.0</v>
      </c>
      <c r="E23" s="47" t="s">
        <v>80</v>
      </c>
      <c r="F23" s="46" t="s">
        <v>81</v>
      </c>
    </row>
    <row r="24">
      <c r="A24" s="45">
        <v>23.0</v>
      </c>
      <c r="B24" s="46" t="s">
        <v>24</v>
      </c>
      <c r="C24" s="46" t="s">
        <v>102</v>
      </c>
      <c r="D24" s="47">
        <v>69.0</v>
      </c>
      <c r="E24" s="47" t="s">
        <v>80</v>
      </c>
      <c r="F24" s="46" t="s">
        <v>84</v>
      </c>
    </row>
    <row r="25">
      <c r="A25" s="45">
        <v>24.0</v>
      </c>
      <c r="B25" s="46" t="s">
        <v>25</v>
      </c>
      <c r="C25" s="46" t="s">
        <v>99</v>
      </c>
      <c r="D25" s="47">
        <v>139.0</v>
      </c>
      <c r="E25" s="47" t="s">
        <v>80</v>
      </c>
      <c r="F25" s="46" t="s">
        <v>81</v>
      </c>
    </row>
    <row r="26">
      <c r="A26" s="45">
        <v>25.0</v>
      </c>
      <c r="B26" s="46" t="s">
        <v>26</v>
      </c>
      <c r="C26" s="46" t="s">
        <v>85</v>
      </c>
      <c r="D26" s="47">
        <v>79.0</v>
      </c>
      <c r="E26" s="47" t="s">
        <v>86</v>
      </c>
      <c r="F26" s="46" t="s">
        <v>84</v>
      </c>
    </row>
    <row r="27">
      <c r="A27" s="45">
        <v>26.0</v>
      </c>
      <c r="B27" s="46" t="s">
        <v>27</v>
      </c>
      <c r="C27" s="46" t="s">
        <v>96</v>
      </c>
      <c r="D27" s="47">
        <v>69.0</v>
      </c>
      <c r="E27" s="47" t="s">
        <v>80</v>
      </c>
      <c r="F27" s="46" t="s">
        <v>84</v>
      </c>
    </row>
    <row r="28">
      <c r="A28" s="45">
        <v>27.0</v>
      </c>
      <c r="B28" s="46" t="s">
        <v>27</v>
      </c>
      <c r="C28" s="46" t="s">
        <v>97</v>
      </c>
      <c r="D28" s="46">
        <v>149.0</v>
      </c>
      <c r="E28" s="46" t="s">
        <v>86</v>
      </c>
      <c r="F28" s="46" t="s">
        <v>84</v>
      </c>
    </row>
    <row r="29">
      <c r="A29" s="45">
        <v>28.0</v>
      </c>
      <c r="B29" s="46" t="s">
        <v>28</v>
      </c>
      <c r="C29" s="46" t="s">
        <v>82</v>
      </c>
      <c r="D29" s="47">
        <v>150.0</v>
      </c>
      <c r="E29" s="47" t="s">
        <v>80</v>
      </c>
      <c r="F29" s="46" t="s">
        <v>81</v>
      </c>
    </row>
    <row r="30">
      <c r="A30" s="45">
        <v>29.0</v>
      </c>
      <c r="B30" s="46" t="s">
        <v>29</v>
      </c>
      <c r="C30" s="46" t="s">
        <v>103</v>
      </c>
      <c r="D30" s="47">
        <v>119.0</v>
      </c>
      <c r="E30" s="47" t="s">
        <v>80</v>
      </c>
      <c r="F30" s="46" t="s">
        <v>93</v>
      </c>
    </row>
    <row r="31">
      <c r="A31" s="45">
        <v>30.0</v>
      </c>
      <c r="B31" s="46" t="s">
        <v>29</v>
      </c>
      <c r="C31" s="46" t="s">
        <v>103</v>
      </c>
      <c r="D31" s="47">
        <v>119.0</v>
      </c>
      <c r="E31" s="47" t="s">
        <v>80</v>
      </c>
      <c r="F31" s="46" t="s">
        <v>81</v>
      </c>
    </row>
    <row r="32">
      <c r="A32" s="45">
        <v>31.0</v>
      </c>
      <c r="B32" s="46" t="s">
        <v>30</v>
      </c>
      <c r="C32" s="46" t="s">
        <v>104</v>
      </c>
      <c r="D32" s="47">
        <v>49.0</v>
      </c>
      <c r="E32" s="47" t="s">
        <v>80</v>
      </c>
      <c r="F32" s="46" t="s">
        <v>84</v>
      </c>
    </row>
    <row r="33">
      <c r="A33" s="45">
        <v>32.0</v>
      </c>
      <c r="B33" s="46" t="s">
        <v>30</v>
      </c>
      <c r="C33" s="46" t="s">
        <v>105</v>
      </c>
      <c r="D33" s="47">
        <v>79.0</v>
      </c>
      <c r="E33" s="47" t="s">
        <v>86</v>
      </c>
      <c r="F33" s="46" t="s">
        <v>84</v>
      </c>
    </row>
    <row r="34">
      <c r="A34" s="45">
        <v>33.0</v>
      </c>
      <c r="B34" s="46" t="s">
        <v>30</v>
      </c>
      <c r="C34" s="46" t="s">
        <v>94</v>
      </c>
      <c r="D34" s="47">
        <v>125.0</v>
      </c>
      <c r="E34" s="47" t="s">
        <v>80</v>
      </c>
      <c r="F34" s="46" t="s">
        <v>81</v>
      </c>
    </row>
    <row r="35">
      <c r="A35" s="45">
        <v>34.0</v>
      </c>
      <c r="B35" s="46" t="s">
        <v>31</v>
      </c>
      <c r="C35" s="46" t="s">
        <v>103</v>
      </c>
      <c r="D35" s="47">
        <v>59.0</v>
      </c>
      <c r="E35" s="47" t="s">
        <v>80</v>
      </c>
      <c r="F35" s="46" t="s">
        <v>84</v>
      </c>
    </row>
    <row r="36">
      <c r="A36" s="45">
        <v>35.0</v>
      </c>
      <c r="B36" s="46" t="s">
        <v>31</v>
      </c>
      <c r="C36" s="46" t="s">
        <v>106</v>
      </c>
      <c r="D36" s="47">
        <v>219.0</v>
      </c>
      <c r="E36" s="47" t="s">
        <v>86</v>
      </c>
      <c r="F36" s="46" t="s">
        <v>84</v>
      </c>
    </row>
    <row r="37">
      <c r="A37" s="45">
        <v>36.0</v>
      </c>
      <c r="B37" s="46" t="s">
        <v>31</v>
      </c>
      <c r="C37" s="46" t="s">
        <v>102</v>
      </c>
      <c r="D37" s="47">
        <v>600.0</v>
      </c>
      <c r="E37" s="47" t="s">
        <v>80</v>
      </c>
      <c r="F37" s="46" t="s">
        <v>81</v>
      </c>
    </row>
    <row r="38">
      <c r="A38" s="45">
        <v>37.0</v>
      </c>
      <c r="B38" s="46" t="s">
        <v>33</v>
      </c>
      <c r="C38" s="46" t="s">
        <v>107</v>
      </c>
      <c r="D38" s="46">
        <v>119.0</v>
      </c>
      <c r="E38" s="46" t="s">
        <v>80</v>
      </c>
      <c r="F38" s="46" t="s">
        <v>84</v>
      </c>
    </row>
    <row r="39">
      <c r="A39" s="45">
        <v>38.0</v>
      </c>
      <c r="B39" s="46" t="s">
        <v>34</v>
      </c>
      <c r="C39" s="46" t="s">
        <v>82</v>
      </c>
      <c r="D39" s="47">
        <v>265.0</v>
      </c>
      <c r="E39" s="47" t="s">
        <v>80</v>
      </c>
      <c r="F39" s="46" t="s">
        <v>81</v>
      </c>
    </row>
    <row r="40">
      <c r="A40" s="45">
        <v>39.0</v>
      </c>
      <c r="B40" s="46" t="s">
        <v>35</v>
      </c>
      <c r="C40" s="46" t="s">
        <v>108</v>
      </c>
      <c r="D40" s="47">
        <v>49.0</v>
      </c>
      <c r="E40" s="47" t="s">
        <v>80</v>
      </c>
      <c r="F40" s="46" t="s">
        <v>84</v>
      </c>
    </row>
    <row r="41">
      <c r="A41" s="45">
        <v>40.0</v>
      </c>
      <c r="B41" s="46" t="s">
        <v>35</v>
      </c>
      <c r="C41" s="46" t="s">
        <v>108</v>
      </c>
      <c r="D41" s="47">
        <v>59.0</v>
      </c>
      <c r="E41" s="47" t="s">
        <v>86</v>
      </c>
      <c r="F41" s="46" t="s">
        <v>84</v>
      </c>
    </row>
    <row r="42">
      <c r="A42" s="45">
        <v>41.0</v>
      </c>
      <c r="B42" s="46" t="s">
        <v>36</v>
      </c>
      <c r="C42" s="46" t="s">
        <v>109</v>
      </c>
      <c r="D42" s="47">
        <v>139.0</v>
      </c>
      <c r="E42" s="47" t="s">
        <v>80</v>
      </c>
      <c r="F42" s="46" t="s">
        <v>81</v>
      </c>
    </row>
    <row r="43">
      <c r="A43" s="45">
        <v>42.0</v>
      </c>
      <c r="B43" s="46" t="s">
        <v>37</v>
      </c>
      <c r="C43" s="46" t="s">
        <v>110</v>
      </c>
      <c r="D43" s="47">
        <v>219.0</v>
      </c>
      <c r="E43" s="47" t="s">
        <v>80</v>
      </c>
      <c r="F43" s="46" t="s">
        <v>81</v>
      </c>
    </row>
    <row r="44">
      <c r="A44" s="45">
        <v>43.0</v>
      </c>
      <c r="B44" s="46" t="s">
        <v>38</v>
      </c>
      <c r="C44" s="46" t="s">
        <v>111</v>
      </c>
      <c r="D44" s="47">
        <v>89.0</v>
      </c>
      <c r="E44" s="47" t="s">
        <v>86</v>
      </c>
      <c r="F44" s="46" t="s">
        <v>84</v>
      </c>
    </row>
    <row r="45">
      <c r="A45" s="45">
        <v>44.0</v>
      </c>
      <c r="B45" s="46" t="s">
        <v>38</v>
      </c>
      <c r="C45" s="46" t="s">
        <v>112</v>
      </c>
      <c r="D45" s="47">
        <v>179.0</v>
      </c>
      <c r="E45" s="47" t="s">
        <v>80</v>
      </c>
      <c r="F45" s="46" t="s">
        <v>84</v>
      </c>
    </row>
    <row r="46">
      <c r="A46" s="45">
        <v>45.0</v>
      </c>
      <c r="B46" s="46" t="s">
        <v>38</v>
      </c>
      <c r="C46" s="46" t="s">
        <v>113</v>
      </c>
      <c r="D46" s="47">
        <v>145.0</v>
      </c>
      <c r="E46" s="47" t="s">
        <v>80</v>
      </c>
      <c r="F46" s="46" t="s">
        <v>81</v>
      </c>
    </row>
    <row r="47">
      <c r="A47" s="45">
        <v>46.0</v>
      </c>
      <c r="B47" s="46" t="s">
        <v>39</v>
      </c>
      <c r="C47" s="46" t="s">
        <v>114</v>
      </c>
      <c r="D47" s="47">
        <v>89.0</v>
      </c>
      <c r="E47" s="47" t="s">
        <v>80</v>
      </c>
      <c r="F47" s="46" t="s">
        <v>84</v>
      </c>
    </row>
    <row r="48">
      <c r="A48" s="45">
        <v>47.0</v>
      </c>
      <c r="B48" s="46" t="s">
        <v>39</v>
      </c>
      <c r="C48" s="46" t="s">
        <v>114</v>
      </c>
      <c r="D48" s="47">
        <v>99.0</v>
      </c>
      <c r="E48" s="47" t="s">
        <v>86</v>
      </c>
      <c r="F48" s="46" t="s">
        <v>84</v>
      </c>
    </row>
    <row r="49">
      <c r="A49" s="45">
        <v>48.0</v>
      </c>
      <c r="B49" s="46" t="s">
        <v>40</v>
      </c>
      <c r="C49" s="46" t="s">
        <v>107</v>
      </c>
      <c r="D49" s="47">
        <v>155.0</v>
      </c>
      <c r="E49" s="47" t="s">
        <v>80</v>
      </c>
      <c r="F49" s="46" t="s">
        <v>81</v>
      </c>
    </row>
    <row r="50">
      <c r="A50" s="45">
        <v>49.0</v>
      </c>
      <c r="B50" s="46" t="s">
        <v>41</v>
      </c>
      <c r="C50" s="46" t="s">
        <v>82</v>
      </c>
      <c r="D50" s="47">
        <v>129.0</v>
      </c>
      <c r="E50" s="47" t="s">
        <v>80</v>
      </c>
      <c r="F50" s="46" t="s">
        <v>81</v>
      </c>
    </row>
    <row r="51">
      <c r="A51" s="45">
        <v>50.0</v>
      </c>
      <c r="B51" s="46" t="s">
        <v>42</v>
      </c>
      <c r="C51" s="46" t="s">
        <v>103</v>
      </c>
      <c r="D51" s="47">
        <v>69.0</v>
      </c>
      <c r="E51" s="47" t="s">
        <v>80</v>
      </c>
      <c r="F51" s="46" t="s">
        <v>84</v>
      </c>
    </row>
    <row r="52">
      <c r="A52" s="45">
        <v>51.0</v>
      </c>
      <c r="B52" s="46" t="s">
        <v>42</v>
      </c>
      <c r="C52" s="46" t="s">
        <v>83</v>
      </c>
      <c r="D52" s="47">
        <v>129.0</v>
      </c>
      <c r="E52" s="47" t="s">
        <v>80</v>
      </c>
      <c r="F52" s="46" t="s">
        <v>81</v>
      </c>
    </row>
    <row r="53">
      <c r="A53" s="45">
        <v>52.0</v>
      </c>
      <c r="B53" s="46" t="s">
        <v>43</v>
      </c>
      <c r="C53" s="46" t="s">
        <v>115</v>
      </c>
      <c r="D53" s="47">
        <v>239.0</v>
      </c>
      <c r="E53" s="47" t="s">
        <v>80</v>
      </c>
      <c r="F53" s="46" t="s">
        <v>81</v>
      </c>
    </row>
    <row r="54">
      <c r="A54" s="45">
        <v>53.0</v>
      </c>
      <c r="B54" s="46" t="s">
        <v>44</v>
      </c>
      <c r="C54" s="46" t="s">
        <v>85</v>
      </c>
      <c r="D54" s="47">
        <v>79.0</v>
      </c>
      <c r="E54" s="47" t="s">
        <v>80</v>
      </c>
      <c r="F54" s="46" t="s">
        <v>84</v>
      </c>
    </row>
    <row r="55">
      <c r="A55" s="45">
        <v>54.0</v>
      </c>
      <c r="B55" s="46" t="s">
        <v>44</v>
      </c>
      <c r="C55" s="46" t="s">
        <v>85</v>
      </c>
      <c r="D55" s="47">
        <v>89.0</v>
      </c>
      <c r="E55" s="47" t="s">
        <v>86</v>
      </c>
      <c r="F55" s="46" t="s">
        <v>84</v>
      </c>
    </row>
    <row r="56">
      <c r="A56" s="45">
        <v>55.0</v>
      </c>
      <c r="B56" s="46" t="s">
        <v>44</v>
      </c>
      <c r="C56" s="46" t="s">
        <v>103</v>
      </c>
      <c r="D56" s="47">
        <v>129.0</v>
      </c>
      <c r="E56" s="47" t="s">
        <v>80</v>
      </c>
      <c r="F56" s="46" t="s">
        <v>81</v>
      </c>
    </row>
    <row r="57">
      <c r="A57" s="45">
        <v>56.0</v>
      </c>
      <c r="B57" s="46" t="s">
        <v>45</v>
      </c>
      <c r="C57" s="46" t="s">
        <v>103</v>
      </c>
      <c r="D57" s="47">
        <v>129.0</v>
      </c>
      <c r="E57" s="47" t="s">
        <v>80</v>
      </c>
      <c r="F57" s="46" t="s">
        <v>81</v>
      </c>
    </row>
    <row r="58">
      <c r="A58" s="45">
        <v>57.0</v>
      </c>
      <c r="B58" s="46" t="s">
        <v>46</v>
      </c>
      <c r="C58" s="46" t="s">
        <v>105</v>
      </c>
      <c r="D58" s="47">
        <v>199.0</v>
      </c>
      <c r="E58" s="47" t="s">
        <v>86</v>
      </c>
      <c r="F58" s="46" t="s">
        <v>84</v>
      </c>
    </row>
    <row r="59">
      <c r="A59" s="45">
        <v>58.0</v>
      </c>
      <c r="B59" s="46" t="s">
        <v>47</v>
      </c>
      <c r="C59" s="46" t="s">
        <v>103</v>
      </c>
      <c r="D59" s="47">
        <v>119.0</v>
      </c>
      <c r="E59" s="47" t="s">
        <v>86</v>
      </c>
      <c r="F59" s="46" t="s">
        <v>84</v>
      </c>
    </row>
    <row r="60">
      <c r="A60" s="45">
        <v>59.0</v>
      </c>
      <c r="B60" s="46" t="s">
        <v>48</v>
      </c>
      <c r="C60" s="46" t="s">
        <v>103</v>
      </c>
      <c r="D60" s="47">
        <v>79.0</v>
      </c>
      <c r="E60" s="47" t="s">
        <v>80</v>
      </c>
      <c r="F60" s="46" t="s">
        <v>84</v>
      </c>
    </row>
    <row r="61">
      <c r="A61" s="45">
        <v>60.0</v>
      </c>
      <c r="B61" s="46" t="s">
        <v>48</v>
      </c>
      <c r="C61" s="46" t="s">
        <v>103</v>
      </c>
      <c r="D61" s="47">
        <v>89.0</v>
      </c>
      <c r="E61" s="47" t="s">
        <v>86</v>
      </c>
      <c r="F61" s="46" t="s">
        <v>84</v>
      </c>
    </row>
    <row r="62">
      <c r="A62" s="45">
        <v>61.0</v>
      </c>
      <c r="B62" s="46" t="s">
        <v>49</v>
      </c>
      <c r="C62" s="46" t="s">
        <v>103</v>
      </c>
      <c r="D62" s="47">
        <v>159.0</v>
      </c>
      <c r="E62" s="47" t="s">
        <v>80</v>
      </c>
      <c r="F62" s="46" t="s">
        <v>81</v>
      </c>
    </row>
    <row r="63">
      <c r="A63" s="45">
        <v>62.0</v>
      </c>
      <c r="B63" s="46" t="s">
        <v>50</v>
      </c>
      <c r="C63" s="46" t="s">
        <v>103</v>
      </c>
      <c r="D63" s="47">
        <v>159.0</v>
      </c>
      <c r="E63" s="47" t="s">
        <v>80</v>
      </c>
      <c r="F63" s="46" t="s">
        <v>81</v>
      </c>
    </row>
    <row r="64">
      <c r="A64" s="45">
        <v>63.0</v>
      </c>
      <c r="B64" s="46" t="s">
        <v>51</v>
      </c>
      <c r="C64" s="46" t="s">
        <v>103</v>
      </c>
      <c r="D64" s="47">
        <v>59.0</v>
      </c>
      <c r="E64" s="47" t="s">
        <v>80</v>
      </c>
      <c r="F64" s="46" t="s">
        <v>84</v>
      </c>
    </row>
    <row r="65">
      <c r="A65" s="45">
        <v>64.0</v>
      </c>
      <c r="B65" s="46" t="s">
        <v>51</v>
      </c>
      <c r="C65" s="46" t="s">
        <v>116</v>
      </c>
      <c r="D65" s="47">
        <v>119.0</v>
      </c>
      <c r="E65" s="47" t="s">
        <v>86</v>
      </c>
      <c r="F65" s="46" t="s">
        <v>84</v>
      </c>
    </row>
    <row r="66">
      <c r="A66" s="45">
        <v>65.0</v>
      </c>
      <c r="B66" s="46" t="s">
        <v>51</v>
      </c>
      <c r="C66" s="46" t="s">
        <v>117</v>
      </c>
      <c r="D66" s="47">
        <v>149.0</v>
      </c>
      <c r="E66" s="47" t="s">
        <v>80</v>
      </c>
      <c r="F66" s="46" t="s">
        <v>81</v>
      </c>
    </row>
    <row r="67">
      <c r="A67" s="45">
        <v>66.0</v>
      </c>
      <c r="B67" s="46" t="s">
        <v>52</v>
      </c>
      <c r="C67" s="46" t="s">
        <v>118</v>
      </c>
      <c r="D67" s="47">
        <v>69.0</v>
      </c>
      <c r="E67" s="47" t="s">
        <v>80</v>
      </c>
      <c r="F67" s="46" t="s">
        <v>84</v>
      </c>
    </row>
    <row r="68">
      <c r="A68" s="45">
        <v>67.0</v>
      </c>
      <c r="B68" s="46" t="s">
        <v>52</v>
      </c>
      <c r="C68" s="46" t="s">
        <v>111</v>
      </c>
      <c r="D68" s="47">
        <v>119.0</v>
      </c>
      <c r="E68" s="47" t="s">
        <v>86</v>
      </c>
      <c r="F68" s="46" t="s">
        <v>84</v>
      </c>
    </row>
    <row r="69">
      <c r="A69" s="45">
        <v>68.0</v>
      </c>
      <c r="B69" s="46" t="s">
        <v>52</v>
      </c>
      <c r="C69" s="46" t="s">
        <v>119</v>
      </c>
      <c r="D69" s="47">
        <v>229.0</v>
      </c>
      <c r="E69" s="47" t="s">
        <v>80</v>
      </c>
      <c r="F69" s="46" t="s">
        <v>81</v>
      </c>
    </row>
    <row r="70">
      <c r="A70" s="45">
        <v>69.0</v>
      </c>
      <c r="B70" s="46" t="s">
        <v>53</v>
      </c>
      <c r="C70" s="46" t="s">
        <v>104</v>
      </c>
      <c r="D70" s="47">
        <v>49.0</v>
      </c>
      <c r="E70" s="47" t="s">
        <v>80</v>
      </c>
      <c r="F70" s="46" t="s">
        <v>84</v>
      </c>
    </row>
    <row r="71">
      <c r="A71" s="45">
        <v>70.0</v>
      </c>
      <c r="B71" s="46" t="s">
        <v>54</v>
      </c>
      <c r="C71" s="46" t="s">
        <v>104</v>
      </c>
      <c r="D71" s="47">
        <v>59.0</v>
      </c>
      <c r="E71" s="47" t="s">
        <v>80</v>
      </c>
      <c r="F71" s="46" t="s">
        <v>84</v>
      </c>
    </row>
    <row r="72">
      <c r="A72" s="45">
        <v>71.0</v>
      </c>
      <c r="B72" s="46" t="s">
        <v>55</v>
      </c>
      <c r="C72" s="46" t="s">
        <v>103</v>
      </c>
      <c r="D72" s="47">
        <v>59.0</v>
      </c>
      <c r="E72" s="47" t="s">
        <v>80</v>
      </c>
      <c r="F72" s="46" t="s">
        <v>84</v>
      </c>
    </row>
    <row r="73">
      <c r="A73" s="45">
        <v>72.0</v>
      </c>
      <c r="B73" s="46" t="s">
        <v>55</v>
      </c>
      <c r="C73" s="46" t="s">
        <v>95</v>
      </c>
      <c r="D73" s="47">
        <v>119.0</v>
      </c>
      <c r="E73" s="47" t="s">
        <v>86</v>
      </c>
      <c r="F73" s="46" t="s">
        <v>84</v>
      </c>
    </row>
    <row r="74">
      <c r="A74" s="45">
        <v>73.0</v>
      </c>
      <c r="B74" s="46" t="s">
        <v>55</v>
      </c>
      <c r="C74" s="46" t="s">
        <v>103</v>
      </c>
      <c r="D74" s="47">
        <v>129.0</v>
      </c>
      <c r="E74" s="47" t="s">
        <v>80</v>
      </c>
      <c r="F74" s="46" t="s">
        <v>81</v>
      </c>
    </row>
    <row r="75">
      <c r="A75" s="45">
        <v>74.0</v>
      </c>
      <c r="B75" s="46" t="s">
        <v>56</v>
      </c>
      <c r="C75" s="49" t="s">
        <v>82</v>
      </c>
      <c r="D75" s="47">
        <v>125.0</v>
      </c>
      <c r="E75" s="47" t="s">
        <v>80</v>
      </c>
      <c r="F75" s="49" t="s">
        <v>84</v>
      </c>
    </row>
    <row r="76">
      <c r="A76" s="45">
        <v>75.0</v>
      </c>
      <c r="B76" s="46" t="s">
        <v>56</v>
      </c>
      <c r="C76" s="49" t="s">
        <v>109</v>
      </c>
      <c r="D76" s="47">
        <v>449.0</v>
      </c>
      <c r="E76" s="47" t="s">
        <v>80</v>
      </c>
      <c r="F76" s="49" t="s">
        <v>84</v>
      </c>
    </row>
    <row r="77">
      <c r="A77" s="45">
        <v>76.0</v>
      </c>
      <c r="B77" s="46" t="s">
        <v>56</v>
      </c>
      <c r="C77" s="49" t="s">
        <v>120</v>
      </c>
      <c r="D77" s="47">
        <v>475.0</v>
      </c>
      <c r="E77" s="47" t="s">
        <v>80</v>
      </c>
      <c r="F77" s="49" t="s">
        <v>84</v>
      </c>
    </row>
    <row r="78">
      <c r="A78" s="45">
        <v>77.0</v>
      </c>
      <c r="B78" s="46" t="s">
        <v>56</v>
      </c>
      <c r="C78" s="49" t="s">
        <v>120</v>
      </c>
      <c r="D78" s="47">
        <v>499.0</v>
      </c>
      <c r="E78" s="46" t="s">
        <v>86</v>
      </c>
      <c r="F78" s="49" t="s">
        <v>84</v>
      </c>
    </row>
    <row r="79">
      <c r="A79" s="45">
        <v>78.0</v>
      </c>
      <c r="B79" s="46" t="s">
        <v>56</v>
      </c>
      <c r="C79" s="49" t="s">
        <v>121</v>
      </c>
      <c r="D79" s="47">
        <v>579.0</v>
      </c>
      <c r="E79" s="46" t="s">
        <v>86</v>
      </c>
      <c r="F79" s="49" t="s">
        <v>84</v>
      </c>
    </row>
    <row r="80">
      <c r="A80" s="45">
        <v>79.0</v>
      </c>
      <c r="B80" s="46" t="s">
        <v>56</v>
      </c>
      <c r="C80" s="49" t="s">
        <v>122</v>
      </c>
      <c r="D80" s="47">
        <v>899.0</v>
      </c>
      <c r="E80" s="46" t="s">
        <v>86</v>
      </c>
      <c r="F80" s="49" t="s">
        <v>84</v>
      </c>
    </row>
    <row r="81">
      <c r="A81" s="45">
        <v>80.0</v>
      </c>
      <c r="B81" s="46" t="s">
        <v>56</v>
      </c>
      <c r="C81" s="46" t="s">
        <v>82</v>
      </c>
      <c r="D81" s="47">
        <v>125.0</v>
      </c>
      <c r="E81" s="46" t="s">
        <v>80</v>
      </c>
      <c r="F81" s="46" t="s">
        <v>84</v>
      </c>
    </row>
    <row r="82">
      <c r="A82" s="45">
        <v>81.0</v>
      </c>
      <c r="B82" s="46" t="s">
        <v>56</v>
      </c>
      <c r="C82" s="46" t="s">
        <v>109</v>
      </c>
      <c r="D82" s="47">
        <v>449.0</v>
      </c>
      <c r="E82" s="47" t="s">
        <v>80</v>
      </c>
      <c r="F82" s="46" t="s">
        <v>84</v>
      </c>
    </row>
    <row r="83">
      <c r="A83" s="45">
        <v>82.0</v>
      </c>
      <c r="B83" s="46" t="s">
        <v>56</v>
      </c>
      <c r="C83" s="46" t="s">
        <v>120</v>
      </c>
      <c r="D83" s="47">
        <v>475.0</v>
      </c>
      <c r="E83" s="47" t="s">
        <v>80</v>
      </c>
      <c r="F83" s="46" t="s">
        <v>84</v>
      </c>
    </row>
    <row r="84">
      <c r="A84" s="45">
        <v>83.0</v>
      </c>
      <c r="B84" s="46" t="s">
        <v>56</v>
      </c>
      <c r="C84" s="46" t="s">
        <v>120</v>
      </c>
      <c r="D84" s="47">
        <v>499.0</v>
      </c>
      <c r="E84" s="47" t="s">
        <v>86</v>
      </c>
      <c r="F84" s="46" t="s">
        <v>84</v>
      </c>
    </row>
    <row r="85">
      <c r="A85" s="45">
        <v>84.0</v>
      </c>
      <c r="B85" s="46" t="s">
        <v>56</v>
      </c>
      <c r="C85" s="46" t="s">
        <v>121</v>
      </c>
      <c r="D85" s="47">
        <v>579.0</v>
      </c>
      <c r="E85" s="47" t="s">
        <v>86</v>
      </c>
      <c r="F85" s="46" t="s">
        <v>84</v>
      </c>
    </row>
    <row r="86">
      <c r="A86" s="45">
        <v>85.0</v>
      </c>
      <c r="B86" s="46" t="s">
        <v>56</v>
      </c>
      <c r="C86" s="46" t="s">
        <v>122</v>
      </c>
      <c r="D86" s="47">
        <v>899.0</v>
      </c>
      <c r="E86" s="47" t="s">
        <v>86</v>
      </c>
      <c r="F86" s="46" t="s">
        <v>84</v>
      </c>
    </row>
    <row r="87">
      <c r="A87" s="45">
        <v>86.0</v>
      </c>
      <c r="B87" s="46" t="s">
        <v>57</v>
      </c>
      <c r="C87" s="46" t="s">
        <v>85</v>
      </c>
      <c r="D87" s="47">
        <v>59.0</v>
      </c>
      <c r="E87" s="47" t="s">
        <v>80</v>
      </c>
      <c r="F87" s="46" t="s">
        <v>84</v>
      </c>
    </row>
    <row r="88">
      <c r="A88" s="45">
        <v>87.0</v>
      </c>
      <c r="B88" s="46" t="s">
        <v>57</v>
      </c>
      <c r="C88" s="46" t="s">
        <v>85</v>
      </c>
      <c r="D88" s="47">
        <v>79.0</v>
      </c>
      <c r="E88" s="47" t="s">
        <v>86</v>
      </c>
      <c r="F88" s="46" t="s">
        <v>84</v>
      </c>
    </row>
    <row r="89">
      <c r="A89" s="45">
        <v>88.0</v>
      </c>
      <c r="B89" s="46" t="s">
        <v>57</v>
      </c>
      <c r="C89" s="46" t="s">
        <v>117</v>
      </c>
      <c r="D89" s="47">
        <v>129.0</v>
      </c>
      <c r="E89" s="47" t="s">
        <v>80</v>
      </c>
      <c r="F89" s="46" t="s">
        <v>81</v>
      </c>
    </row>
    <row r="90">
      <c r="A90" s="45">
        <v>89.0</v>
      </c>
      <c r="B90" s="49" t="s">
        <v>58</v>
      </c>
      <c r="C90" s="49" t="s">
        <v>123</v>
      </c>
      <c r="D90" s="47">
        <v>165.0</v>
      </c>
      <c r="E90" s="47" t="s">
        <v>80</v>
      </c>
      <c r="F90" s="49" t="s">
        <v>84</v>
      </c>
    </row>
    <row r="91">
      <c r="A91" s="45">
        <v>90.0</v>
      </c>
      <c r="B91" s="49" t="s">
        <v>58</v>
      </c>
      <c r="C91" s="49" t="s">
        <v>124</v>
      </c>
      <c r="D91" s="47">
        <v>175.0</v>
      </c>
      <c r="E91" s="46" t="s">
        <v>86</v>
      </c>
      <c r="F91" s="49" t="s">
        <v>84</v>
      </c>
    </row>
    <row r="92">
      <c r="A92" s="45">
        <v>91.0</v>
      </c>
      <c r="B92" s="49" t="s">
        <v>58</v>
      </c>
      <c r="C92" s="49" t="s">
        <v>125</v>
      </c>
      <c r="D92" s="47">
        <v>200.0</v>
      </c>
      <c r="E92" s="46" t="s">
        <v>86</v>
      </c>
      <c r="F92" s="49" t="s">
        <v>84</v>
      </c>
    </row>
    <row r="93">
      <c r="A93" s="45">
        <v>92.0</v>
      </c>
      <c r="B93" s="46" t="s">
        <v>59</v>
      </c>
      <c r="C93" s="46" t="s">
        <v>85</v>
      </c>
      <c r="D93" s="47">
        <v>59.0</v>
      </c>
      <c r="E93" s="47" t="s">
        <v>80</v>
      </c>
      <c r="F93" s="46" t="s">
        <v>84</v>
      </c>
    </row>
    <row r="94">
      <c r="A94" s="45">
        <v>93.0</v>
      </c>
      <c r="B94" s="46" t="s">
        <v>59</v>
      </c>
      <c r="C94" s="46" t="s">
        <v>85</v>
      </c>
      <c r="D94" s="47">
        <v>89.0</v>
      </c>
      <c r="E94" s="47" t="s">
        <v>86</v>
      </c>
      <c r="F94" s="46" t="s">
        <v>84</v>
      </c>
    </row>
    <row r="95">
      <c r="A95" s="45">
        <v>94.0</v>
      </c>
      <c r="B95" s="46" t="s">
        <v>59</v>
      </c>
      <c r="C95" s="46" t="s">
        <v>117</v>
      </c>
      <c r="D95" s="47">
        <v>129.0</v>
      </c>
      <c r="E95" s="47" t="s">
        <v>80</v>
      </c>
      <c r="F95" s="46" t="s">
        <v>81</v>
      </c>
    </row>
    <row r="96">
      <c r="A96" s="45">
        <v>95.0</v>
      </c>
      <c r="B96" s="46" t="s">
        <v>60</v>
      </c>
      <c r="C96" s="46" t="s">
        <v>103</v>
      </c>
      <c r="D96" s="47">
        <v>129.0</v>
      </c>
      <c r="E96" s="47" t="s">
        <v>80</v>
      </c>
      <c r="F96" s="46" t="s">
        <v>81</v>
      </c>
    </row>
    <row r="97">
      <c r="A97" s="45">
        <v>96.0</v>
      </c>
      <c r="B97" s="46" t="s">
        <v>61</v>
      </c>
      <c r="C97" s="46" t="s">
        <v>83</v>
      </c>
      <c r="D97" s="47">
        <v>49.0</v>
      </c>
      <c r="E97" s="47" t="s">
        <v>80</v>
      </c>
      <c r="F97" s="46" t="s">
        <v>84</v>
      </c>
    </row>
    <row r="98">
      <c r="A98" s="45">
        <v>97.0</v>
      </c>
      <c r="B98" s="46" t="s">
        <v>61</v>
      </c>
      <c r="C98" s="46" t="s">
        <v>95</v>
      </c>
      <c r="D98" s="47">
        <v>169.0</v>
      </c>
      <c r="E98" s="47" t="s">
        <v>86</v>
      </c>
      <c r="F98" s="46" t="s">
        <v>84</v>
      </c>
    </row>
    <row r="99">
      <c r="A99" s="45">
        <v>98.0</v>
      </c>
      <c r="B99" s="46" t="s">
        <v>62</v>
      </c>
      <c r="C99" s="46" t="s">
        <v>126</v>
      </c>
      <c r="D99" s="47">
        <v>99.0</v>
      </c>
      <c r="E99" s="47" t="s">
        <v>80</v>
      </c>
      <c r="F99" s="46" t="s">
        <v>93</v>
      </c>
    </row>
    <row r="100">
      <c r="A100" s="45">
        <v>99.0</v>
      </c>
      <c r="B100" s="46" t="s">
        <v>63</v>
      </c>
      <c r="C100" s="46" t="s">
        <v>103</v>
      </c>
      <c r="D100" s="46">
        <v>55.0</v>
      </c>
      <c r="E100" s="46" t="s">
        <v>80</v>
      </c>
      <c r="F100" s="46" t="s">
        <v>84</v>
      </c>
    </row>
    <row r="101">
      <c r="A101" s="45">
        <v>100.0</v>
      </c>
      <c r="B101" s="46" t="s">
        <v>63</v>
      </c>
      <c r="C101" s="46" t="s">
        <v>79</v>
      </c>
      <c r="D101" s="47">
        <v>619.0</v>
      </c>
      <c r="E101" s="47" t="s">
        <v>80</v>
      </c>
      <c r="F101" s="46" t="s">
        <v>81</v>
      </c>
    </row>
    <row r="102">
      <c r="A102" s="45">
        <v>101.0</v>
      </c>
      <c r="B102" s="46" t="s">
        <v>64</v>
      </c>
      <c r="C102" s="46" t="s">
        <v>83</v>
      </c>
      <c r="D102" s="46">
        <v>49.0</v>
      </c>
      <c r="E102" s="46" t="s">
        <v>80</v>
      </c>
      <c r="F102" s="46" t="s">
        <v>84</v>
      </c>
    </row>
    <row r="103">
      <c r="A103" s="45">
        <v>102.0</v>
      </c>
      <c r="B103" s="46" t="s">
        <v>64</v>
      </c>
      <c r="C103" s="46" t="s">
        <v>85</v>
      </c>
      <c r="D103" s="47">
        <v>109.0</v>
      </c>
      <c r="E103" s="47" t="s">
        <v>86</v>
      </c>
      <c r="F103" s="46" t="s">
        <v>84</v>
      </c>
    </row>
    <row r="104">
      <c r="A104" s="45">
        <v>103.0</v>
      </c>
      <c r="B104" s="46" t="s">
        <v>64</v>
      </c>
      <c r="C104" s="46" t="s">
        <v>103</v>
      </c>
      <c r="D104" s="47">
        <v>139.0</v>
      </c>
      <c r="E104" s="47" t="s">
        <v>80</v>
      </c>
      <c r="F104" s="46" t="s">
        <v>81</v>
      </c>
    </row>
    <row r="105">
      <c r="A105" s="45">
        <v>104.0</v>
      </c>
      <c r="B105" s="46" t="s">
        <v>65</v>
      </c>
      <c r="C105" s="46" t="s">
        <v>103</v>
      </c>
      <c r="D105" s="47">
        <v>89.0</v>
      </c>
      <c r="E105" s="47" t="s">
        <v>80</v>
      </c>
      <c r="F105" s="46" t="s">
        <v>84</v>
      </c>
    </row>
    <row r="106">
      <c r="A106" s="45">
        <v>105.0</v>
      </c>
      <c r="B106" s="46" t="s">
        <v>65</v>
      </c>
      <c r="C106" s="46" t="s">
        <v>127</v>
      </c>
      <c r="D106" s="47">
        <v>259.0</v>
      </c>
      <c r="E106" s="47" t="s">
        <v>86</v>
      </c>
      <c r="F106" s="46" t="s">
        <v>84</v>
      </c>
    </row>
    <row r="107">
      <c r="A107" s="45">
        <v>106.0</v>
      </c>
      <c r="B107" s="46" t="s">
        <v>65</v>
      </c>
      <c r="C107" s="46" t="s">
        <v>128</v>
      </c>
      <c r="D107" s="47">
        <v>299.0</v>
      </c>
      <c r="E107" s="47" t="s">
        <v>80</v>
      </c>
      <c r="F107" s="46" t="s">
        <v>81</v>
      </c>
    </row>
    <row r="108">
      <c r="A108" s="45">
        <v>107.0</v>
      </c>
      <c r="B108" s="46" t="s">
        <v>66</v>
      </c>
      <c r="C108" s="46" t="s">
        <v>129</v>
      </c>
      <c r="D108" s="47">
        <v>179.0</v>
      </c>
      <c r="E108" s="47" t="s">
        <v>80</v>
      </c>
      <c r="F108" s="46" t="s">
        <v>84</v>
      </c>
    </row>
    <row r="109">
      <c r="A109" s="45">
        <v>108.0</v>
      </c>
      <c r="B109" s="46" t="s">
        <v>67</v>
      </c>
      <c r="C109" s="46" t="s">
        <v>130</v>
      </c>
      <c r="D109" s="47">
        <v>209.0</v>
      </c>
      <c r="E109" s="47" t="s">
        <v>80</v>
      </c>
      <c r="F109" s="46" t="s">
        <v>81</v>
      </c>
    </row>
    <row r="110">
      <c r="A110" s="45">
        <v>109.0</v>
      </c>
      <c r="B110" s="46" t="s">
        <v>68</v>
      </c>
      <c r="C110" s="46" t="s">
        <v>103</v>
      </c>
      <c r="D110" s="46">
        <v>79.0</v>
      </c>
      <c r="E110" s="46" t="s">
        <v>80</v>
      </c>
      <c r="F110" s="46" t="s">
        <v>84</v>
      </c>
    </row>
    <row r="111">
      <c r="A111" s="45">
        <v>110.0</v>
      </c>
      <c r="B111" s="46" t="s">
        <v>68</v>
      </c>
      <c r="C111" s="46" t="s">
        <v>103</v>
      </c>
      <c r="D111" s="47">
        <v>89.0</v>
      </c>
      <c r="E111" s="47" t="s">
        <v>86</v>
      </c>
      <c r="F111" s="46" t="s">
        <v>84</v>
      </c>
    </row>
    <row r="112">
      <c r="A112" s="45">
        <v>111.0</v>
      </c>
      <c r="B112" s="46" t="s">
        <v>69</v>
      </c>
      <c r="C112" s="46" t="s">
        <v>131</v>
      </c>
      <c r="D112" s="47">
        <v>139.0</v>
      </c>
      <c r="E112" s="47" t="s">
        <v>80</v>
      </c>
      <c r="F112" s="46" t="s">
        <v>84</v>
      </c>
    </row>
    <row r="113">
      <c r="A113" s="45">
        <v>112.0</v>
      </c>
      <c r="B113" s="46" t="s">
        <v>70</v>
      </c>
      <c r="C113" s="46" t="s">
        <v>103</v>
      </c>
      <c r="D113" s="47">
        <v>139.0</v>
      </c>
      <c r="E113" s="47" t="s">
        <v>80</v>
      </c>
      <c r="F113" s="46" t="s">
        <v>81</v>
      </c>
    </row>
    <row r="114">
      <c r="A114" s="45">
        <v>113.0</v>
      </c>
      <c r="B114" s="49" t="s">
        <v>71</v>
      </c>
      <c r="C114" s="49" t="s">
        <v>82</v>
      </c>
      <c r="D114" s="47">
        <v>85.0</v>
      </c>
      <c r="E114" s="47" t="s">
        <v>80</v>
      </c>
      <c r="F114" s="49" t="s">
        <v>84</v>
      </c>
    </row>
    <row r="115">
      <c r="A115" s="45">
        <v>114.0</v>
      </c>
      <c r="B115" s="49" t="s">
        <v>71</v>
      </c>
      <c r="C115" s="49" t="s">
        <v>102</v>
      </c>
      <c r="D115" s="47">
        <v>325.0</v>
      </c>
      <c r="E115" s="47" t="s">
        <v>80</v>
      </c>
      <c r="F115" s="49" t="s">
        <v>84</v>
      </c>
    </row>
    <row r="116">
      <c r="A116" s="45">
        <v>115.0</v>
      </c>
      <c r="B116" s="49" t="s">
        <v>71</v>
      </c>
      <c r="C116" s="49" t="s">
        <v>132</v>
      </c>
      <c r="D116" s="47">
        <v>199.0</v>
      </c>
      <c r="E116" s="46" t="s">
        <v>86</v>
      </c>
      <c r="F116" s="49" t="s">
        <v>84</v>
      </c>
    </row>
    <row r="117">
      <c r="A117" s="45">
        <v>116.0</v>
      </c>
      <c r="B117" s="49" t="s">
        <v>71</v>
      </c>
      <c r="C117" s="49" t="s">
        <v>133</v>
      </c>
      <c r="D117" s="47">
        <v>259.0</v>
      </c>
      <c r="E117" s="46" t="s">
        <v>86</v>
      </c>
      <c r="F117" s="49" t="s">
        <v>84</v>
      </c>
    </row>
    <row r="118">
      <c r="A118" s="45">
        <v>117.0</v>
      </c>
      <c r="B118" s="49" t="s">
        <v>71</v>
      </c>
      <c r="C118" s="49" t="s">
        <v>134</v>
      </c>
      <c r="D118" s="47">
        <v>349.0</v>
      </c>
      <c r="E118" s="46" t="s">
        <v>86</v>
      </c>
      <c r="F118" s="49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 t="array" ref="A1:T1">'Price Calculator'!B4:U4</f>
        <v/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>
      <c r="A2" s="14" t="str">
        <f>IFERROR(__xludf.DUMMYFUNCTION("MAKEARRAY(30, 20, LAMBDA(r, c, IFERROR(INDEX(FILTER('Product ID + Prices'!$C$2:$C1000 &amp; "" - "" &amp; 'Product ID + Prices'!$E$2:$E1000 &amp; IF('Product ID + Prices'!$F$2:$F1000=""pen"", "" (pen)"", IF('Product ID + Prices'!$F$2:$F1000=""capsules"", "" (cap)"", "&amp;"IF('Product ID + Prices'!$F$2:$F1000=""injection"", "" (inj)"", """"))), 'Product ID + Prices'!$B$2:$B1000 = INDEX(A1:T1, 1, c)), r), """")))"),"")</f>
        <v/>
      </c>
      <c r="B2" s="14" t="str">
        <f>IFERROR(__xludf.DUMMYFUNCTION("""COMPUTED_VALUE"""),"")</f>
        <v/>
      </c>
      <c r="C2" s="14" t="str">
        <f>IFERROR(__xludf.DUMMYFUNCTION("""COMPUTED_VALUE"""),"")</f>
        <v/>
      </c>
      <c r="D2" s="14" t="str">
        <f>IFERROR(__xludf.DUMMYFUNCTION("""COMPUTED_VALUE"""),"")</f>
        <v/>
      </c>
      <c r="E2" s="14" t="str">
        <f>IFERROR(__xludf.DUMMYFUNCTION("""COMPUTED_VALUE"""),"")</f>
        <v/>
      </c>
      <c r="F2" s="14" t="str">
        <f>IFERROR(__xludf.DUMMYFUNCTION("""COMPUTED_VALUE"""),"")</f>
        <v/>
      </c>
      <c r="G2" s="14" t="str">
        <f>IFERROR(__xludf.DUMMYFUNCTION("""COMPUTED_VALUE"""),"")</f>
        <v/>
      </c>
      <c r="H2" s="14" t="str">
        <f>IFERROR(__xludf.DUMMYFUNCTION("""COMPUTED_VALUE"""),"")</f>
        <v/>
      </c>
      <c r="I2" s="14" t="str">
        <f>IFERROR(__xludf.DUMMYFUNCTION("""COMPUTED_VALUE"""),"")</f>
        <v/>
      </c>
      <c r="J2" s="14" t="str">
        <f>IFERROR(__xludf.DUMMYFUNCTION("""COMPUTED_VALUE"""),"")</f>
        <v/>
      </c>
      <c r="K2" s="14" t="str">
        <f>IFERROR(__xludf.DUMMYFUNCTION("""COMPUTED_VALUE"""),"")</f>
        <v/>
      </c>
      <c r="L2" s="14" t="str">
        <f>IFERROR(__xludf.DUMMYFUNCTION("""COMPUTED_VALUE"""),"")</f>
        <v/>
      </c>
      <c r="M2" s="14" t="str">
        <f>IFERROR(__xludf.DUMMYFUNCTION("""COMPUTED_VALUE"""),"")</f>
        <v/>
      </c>
      <c r="N2" s="14" t="str">
        <f>IFERROR(__xludf.DUMMYFUNCTION("""COMPUTED_VALUE"""),"")</f>
        <v/>
      </c>
      <c r="O2" s="14" t="str">
        <f>IFERROR(__xludf.DUMMYFUNCTION("""COMPUTED_VALUE"""),"")</f>
        <v/>
      </c>
      <c r="P2" s="14" t="str">
        <f>IFERROR(__xludf.DUMMYFUNCTION("""COMPUTED_VALUE"""),"")</f>
        <v/>
      </c>
      <c r="Q2" s="14" t="str">
        <f>IFERROR(__xludf.DUMMYFUNCTION("""COMPUTED_VALUE"""),"")</f>
        <v/>
      </c>
      <c r="R2" s="14" t="str">
        <f>IFERROR(__xludf.DUMMYFUNCTION("""COMPUTED_VALUE"""),"")</f>
        <v/>
      </c>
      <c r="S2" s="14" t="str">
        <f>IFERROR(__xludf.DUMMYFUNCTION("""COMPUTED_VALUE"""),"")</f>
        <v/>
      </c>
      <c r="T2" s="14" t="str">
        <f>IFERROR(__xludf.DUMMYFUNCTION("""COMPUTED_VALUE"""),"")</f>
        <v/>
      </c>
    </row>
    <row r="3">
      <c r="A3" s="14" t="str">
        <f>IFERROR(__xludf.DUMMYFUNCTION("""COMPUTED_VALUE"""),"")</f>
        <v/>
      </c>
      <c r="B3" s="14" t="str">
        <f>IFERROR(__xludf.DUMMYFUNCTION("""COMPUTED_VALUE"""),"")</f>
        <v/>
      </c>
      <c r="C3" s="14" t="str">
        <f>IFERROR(__xludf.DUMMYFUNCTION("""COMPUTED_VALUE"""),"")</f>
        <v/>
      </c>
      <c r="D3" s="14" t="str">
        <f>IFERROR(__xludf.DUMMYFUNCTION("""COMPUTED_VALUE"""),"")</f>
        <v/>
      </c>
      <c r="E3" s="14" t="str">
        <f>IFERROR(__xludf.DUMMYFUNCTION("""COMPUTED_VALUE"""),"")</f>
        <v/>
      </c>
      <c r="F3" s="14" t="str">
        <f>IFERROR(__xludf.DUMMYFUNCTION("""COMPUTED_VALUE"""),"")</f>
        <v/>
      </c>
      <c r="G3" s="14" t="str">
        <f>IFERROR(__xludf.DUMMYFUNCTION("""COMPUTED_VALUE"""),"")</f>
        <v/>
      </c>
      <c r="H3" s="14" t="str">
        <f>IFERROR(__xludf.DUMMYFUNCTION("""COMPUTED_VALUE"""),"")</f>
        <v/>
      </c>
      <c r="I3" s="14" t="str">
        <f>IFERROR(__xludf.DUMMYFUNCTION("""COMPUTED_VALUE"""),"")</f>
        <v/>
      </c>
      <c r="J3" s="14" t="str">
        <f>IFERROR(__xludf.DUMMYFUNCTION("""COMPUTED_VALUE"""),"")</f>
        <v/>
      </c>
      <c r="K3" s="14" t="str">
        <f>IFERROR(__xludf.DUMMYFUNCTION("""COMPUTED_VALUE"""),"")</f>
        <v/>
      </c>
      <c r="L3" s="14" t="str">
        <f>IFERROR(__xludf.DUMMYFUNCTION("""COMPUTED_VALUE"""),"")</f>
        <v/>
      </c>
      <c r="M3" s="14" t="str">
        <f>IFERROR(__xludf.DUMMYFUNCTION("""COMPUTED_VALUE"""),"")</f>
        <v/>
      </c>
      <c r="N3" s="14" t="str">
        <f>IFERROR(__xludf.DUMMYFUNCTION("""COMPUTED_VALUE"""),"")</f>
        <v/>
      </c>
      <c r="O3" s="14" t="str">
        <f>IFERROR(__xludf.DUMMYFUNCTION("""COMPUTED_VALUE"""),"")</f>
        <v/>
      </c>
      <c r="P3" s="14" t="str">
        <f>IFERROR(__xludf.DUMMYFUNCTION("""COMPUTED_VALUE"""),"")</f>
        <v/>
      </c>
      <c r="Q3" s="14" t="str">
        <f>IFERROR(__xludf.DUMMYFUNCTION("""COMPUTED_VALUE"""),"")</f>
        <v/>
      </c>
      <c r="R3" s="14" t="str">
        <f>IFERROR(__xludf.DUMMYFUNCTION("""COMPUTED_VALUE"""),"")</f>
        <v/>
      </c>
      <c r="S3" s="14" t="str">
        <f>IFERROR(__xludf.DUMMYFUNCTION("""COMPUTED_VALUE"""),"")</f>
        <v/>
      </c>
      <c r="T3" s="14" t="str">
        <f>IFERROR(__xludf.DUMMYFUNCTION("""COMPUTED_VALUE"""),"")</f>
        <v/>
      </c>
    </row>
    <row r="4">
      <c r="A4" s="14" t="str">
        <f>IFERROR(__xludf.DUMMYFUNCTION("""COMPUTED_VALUE"""),"")</f>
        <v/>
      </c>
      <c r="B4" s="14" t="str">
        <f>IFERROR(__xludf.DUMMYFUNCTION("""COMPUTED_VALUE"""),"")</f>
        <v/>
      </c>
      <c r="C4" s="14" t="str">
        <f>IFERROR(__xludf.DUMMYFUNCTION("""COMPUTED_VALUE"""),"")</f>
        <v/>
      </c>
      <c r="D4" s="14" t="str">
        <f>IFERROR(__xludf.DUMMYFUNCTION("""COMPUTED_VALUE"""),"")</f>
        <v/>
      </c>
      <c r="E4" s="14" t="str">
        <f>IFERROR(__xludf.DUMMYFUNCTION("""COMPUTED_VALUE"""),"")</f>
        <v/>
      </c>
      <c r="F4" s="14" t="str">
        <f>IFERROR(__xludf.DUMMYFUNCTION("""COMPUTED_VALUE"""),"")</f>
        <v/>
      </c>
      <c r="G4" s="14" t="str">
        <f>IFERROR(__xludf.DUMMYFUNCTION("""COMPUTED_VALUE"""),"")</f>
        <v/>
      </c>
      <c r="H4" s="14" t="str">
        <f>IFERROR(__xludf.DUMMYFUNCTION("""COMPUTED_VALUE"""),"")</f>
        <v/>
      </c>
      <c r="I4" s="14" t="str">
        <f>IFERROR(__xludf.DUMMYFUNCTION("""COMPUTED_VALUE"""),"")</f>
        <v/>
      </c>
      <c r="J4" s="14" t="str">
        <f>IFERROR(__xludf.DUMMYFUNCTION("""COMPUTED_VALUE"""),"")</f>
        <v/>
      </c>
      <c r="K4" s="14" t="str">
        <f>IFERROR(__xludf.DUMMYFUNCTION("""COMPUTED_VALUE"""),"")</f>
        <v/>
      </c>
      <c r="L4" s="14" t="str">
        <f>IFERROR(__xludf.DUMMYFUNCTION("""COMPUTED_VALUE"""),"")</f>
        <v/>
      </c>
      <c r="M4" s="14" t="str">
        <f>IFERROR(__xludf.DUMMYFUNCTION("""COMPUTED_VALUE"""),"")</f>
        <v/>
      </c>
      <c r="N4" s="14" t="str">
        <f>IFERROR(__xludf.DUMMYFUNCTION("""COMPUTED_VALUE"""),"")</f>
        <v/>
      </c>
      <c r="O4" s="14" t="str">
        <f>IFERROR(__xludf.DUMMYFUNCTION("""COMPUTED_VALUE"""),"")</f>
        <v/>
      </c>
      <c r="P4" s="14" t="str">
        <f>IFERROR(__xludf.DUMMYFUNCTION("""COMPUTED_VALUE"""),"")</f>
        <v/>
      </c>
      <c r="Q4" s="14" t="str">
        <f>IFERROR(__xludf.DUMMYFUNCTION("""COMPUTED_VALUE"""),"")</f>
        <v/>
      </c>
      <c r="R4" s="14" t="str">
        <f>IFERROR(__xludf.DUMMYFUNCTION("""COMPUTED_VALUE"""),"")</f>
        <v/>
      </c>
      <c r="S4" s="14" t="str">
        <f>IFERROR(__xludf.DUMMYFUNCTION("""COMPUTED_VALUE"""),"")</f>
        <v/>
      </c>
      <c r="T4" s="14" t="str">
        <f>IFERROR(__xludf.DUMMYFUNCTION("""COMPUTED_VALUE"""),"")</f>
        <v/>
      </c>
    </row>
    <row r="5">
      <c r="A5" s="14" t="str">
        <f>IFERROR(__xludf.DUMMYFUNCTION("""COMPUTED_VALUE"""),"")</f>
        <v/>
      </c>
      <c r="B5" s="14" t="str">
        <f>IFERROR(__xludf.DUMMYFUNCTION("""COMPUTED_VALUE"""),"")</f>
        <v/>
      </c>
      <c r="C5" s="14" t="str">
        <f>IFERROR(__xludf.DUMMYFUNCTION("""COMPUTED_VALUE"""),"")</f>
        <v/>
      </c>
      <c r="D5" s="14" t="str">
        <f>IFERROR(__xludf.DUMMYFUNCTION("""COMPUTED_VALUE"""),"")</f>
        <v/>
      </c>
      <c r="E5" s="14" t="str">
        <f>IFERROR(__xludf.DUMMYFUNCTION("""COMPUTED_VALUE"""),"")</f>
        <v/>
      </c>
      <c r="F5" s="14" t="str">
        <f>IFERROR(__xludf.DUMMYFUNCTION("""COMPUTED_VALUE"""),"")</f>
        <v/>
      </c>
      <c r="G5" s="14" t="str">
        <f>IFERROR(__xludf.DUMMYFUNCTION("""COMPUTED_VALUE"""),"")</f>
        <v/>
      </c>
      <c r="H5" s="14" t="str">
        <f>IFERROR(__xludf.DUMMYFUNCTION("""COMPUTED_VALUE"""),"")</f>
        <v/>
      </c>
      <c r="I5" s="14" t="str">
        <f>IFERROR(__xludf.DUMMYFUNCTION("""COMPUTED_VALUE"""),"")</f>
        <v/>
      </c>
      <c r="J5" s="14" t="str">
        <f>IFERROR(__xludf.DUMMYFUNCTION("""COMPUTED_VALUE"""),"")</f>
        <v/>
      </c>
      <c r="K5" s="14" t="str">
        <f>IFERROR(__xludf.DUMMYFUNCTION("""COMPUTED_VALUE"""),"")</f>
        <v/>
      </c>
      <c r="L5" s="14" t="str">
        <f>IFERROR(__xludf.DUMMYFUNCTION("""COMPUTED_VALUE"""),"")</f>
        <v/>
      </c>
      <c r="M5" s="14" t="str">
        <f>IFERROR(__xludf.DUMMYFUNCTION("""COMPUTED_VALUE"""),"")</f>
        <v/>
      </c>
      <c r="N5" s="14" t="str">
        <f>IFERROR(__xludf.DUMMYFUNCTION("""COMPUTED_VALUE"""),"")</f>
        <v/>
      </c>
      <c r="O5" s="14" t="str">
        <f>IFERROR(__xludf.DUMMYFUNCTION("""COMPUTED_VALUE"""),"")</f>
        <v/>
      </c>
      <c r="P5" s="14" t="str">
        <f>IFERROR(__xludf.DUMMYFUNCTION("""COMPUTED_VALUE"""),"")</f>
        <v/>
      </c>
      <c r="Q5" s="14" t="str">
        <f>IFERROR(__xludf.DUMMYFUNCTION("""COMPUTED_VALUE"""),"")</f>
        <v/>
      </c>
      <c r="R5" s="14" t="str">
        <f>IFERROR(__xludf.DUMMYFUNCTION("""COMPUTED_VALUE"""),"")</f>
        <v/>
      </c>
      <c r="S5" s="14" t="str">
        <f>IFERROR(__xludf.DUMMYFUNCTION("""COMPUTED_VALUE"""),"")</f>
        <v/>
      </c>
      <c r="T5" s="14" t="str">
        <f>IFERROR(__xludf.DUMMYFUNCTION("""COMPUTED_VALUE"""),"")</f>
        <v/>
      </c>
    </row>
    <row r="6">
      <c r="A6" s="14" t="str">
        <f>IFERROR(__xludf.DUMMYFUNCTION("""COMPUTED_VALUE"""),"")</f>
        <v/>
      </c>
      <c r="B6" s="14" t="str">
        <f>IFERROR(__xludf.DUMMYFUNCTION("""COMPUTED_VALUE"""),"")</f>
        <v/>
      </c>
      <c r="C6" s="14" t="str">
        <f>IFERROR(__xludf.DUMMYFUNCTION("""COMPUTED_VALUE"""),"")</f>
        <v/>
      </c>
      <c r="D6" s="14" t="str">
        <f>IFERROR(__xludf.DUMMYFUNCTION("""COMPUTED_VALUE"""),"")</f>
        <v/>
      </c>
      <c r="E6" s="14" t="str">
        <f>IFERROR(__xludf.DUMMYFUNCTION("""COMPUTED_VALUE"""),"")</f>
        <v/>
      </c>
      <c r="F6" s="14" t="str">
        <f>IFERROR(__xludf.DUMMYFUNCTION("""COMPUTED_VALUE"""),"")</f>
        <v/>
      </c>
      <c r="G6" s="14" t="str">
        <f>IFERROR(__xludf.DUMMYFUNCTION("""COMPUTED_VALUE"""),"")</f>
        <v/>
      </c>
      <c r="H6" s="14" t="str">
        <f>IFERROR(__xludf.DUMMYFUNCTION("""COMPUTED_VALUE"""),"")</f>
        <v/>
      </c>
      <c r="I6" s="14" t="str">
        <f>IFERROR(__xludf.DUMMYFUNCTION("""COMPUTED_VALUE"""),"")</f>
        <v/>
      </c>
      <c r="J6" s="14" t="str">
        <f>IFERROR(__xludf.DUMMYFUNCTION("""COMPUTED_VALUE"""),"")</f>
        <v/>
      </c>
      <c r="K6" s="14" t="str">
        <f>IFERROR(__xludf.DUMMYFUNCTION("""COMPUTED_VALUE"""),"")</f>
        <v/>
      </c>
      <c r="L6" s="14" t="str">
        <f>IFERROR(__xludf.DUMMYFUNCTION("""COMPUTED_VALUE"""),"")</f>
        <v/>
      </c>
      <c r="M6" s="14" t="str">
        <f>IFERROR(__xludf.DUMMYFUNCTION("""COMPUTED_VALUE"""),"")</f>
        <v/>
      </c>
      <c r="N6" s="14" t="str">
        <f>IFERROR(__xludf.DUMMYFUNCTION("""COMPUTED_VALUE"""),"")</f>
        <v/>
      </c>
      <c r="O6" s="14" t="str">
        <f>IFERROR(__xludf.DUMMYFUNCTION("""COMPUTED_VALUE"""),"")</f>
        <v/>
      </c>
      <c r="P6" s="14" t="str">
        <f>IFERROR(__xludf.DUMMYFUNCTION("""COMPUTED_VALUE"""),"")</f>
        <v/>
      </c>
      <c r="Q6" s="14" t="str">
        <f>IFERROR(__xludf.DUMMYFUNCTION("""COMPUTED_VALUE"""),"")</f>
        <v/>
      </c>
      <c r="R6" s="14" t="str">
        <f>IFERROR(__xludf.DUMMYFUNCTION("""COMPUTED_VALUE"""),"")</f>
        <v/>
      </c>
      <c r="S6" s="14" t="str">
        <f>IFERROR(__xludf.DUMMYFUNCTION("""COMPUTED_VALUE"""),"")</f>
        <v/>
      </c>
      <c r="T6" s="14" t="str">
        <f>IFERROR(__xludf.DUMMYFUNCTION("""COMPUTED_VALUE"""),"")</f>
        <v/>
      </c>
    </row>
    <row r="7">
      <c r="A7" s="14" t="str">
        <f>IFERROR(__xludf.DUMMYFUNCTION("""COMPUTED_VALUE"""),"")</f>
        <v/>
      </c>
      <c r="B7" s="14" t="str">
        <f>IFERROR(__xludf.DUMMYFUNCTION("""COMPUTED_VALUE"""),"")</f>
        <v/>
      </c>
      <c r="C7" s="14" t="str">
        <f>IFERROR(__xludf.DUMMYFUNCTION("""COMPUTED_VALUE"""),"")</f>
        <v/>
      </c>
      <c r="D7" s="14" t="str">
        <f>IFERROR(__xludf.DUMMYFUNCTION("""COMPUTED_VALUE"""),"")</f>
        <v/>
      </c>
      <c r="E7" s="14" t="str">
        <f>IFERROR(__xludf.DUMMYFUNCTION("""COMPUTED_VALUE"""),"")</f>
        <v/>
      </c>
      <c r="F7" s="14" t="str">
        <f>IFERROR(__xludf.DUMMYFUNCTION("""COMPUTED_VALUE"""),"")</f>
        <v/>
      </c>
      <c r="G7" s="14" t="str">
        <f>IFERROR(__xludf.DUMMYFUNCTION("""COMPUTED_VALUE"""),"")</f>
        <v/>
      </c>
      <c r="H7" s="14" t="str">
        <f>IFERROR(__xludf.DUMMYFUNCTION("""COMPUTED_VALUE"""),"")</f>
        <v/>
      </c>
      <c r="I7" s="14" t="str">
        <f>IFERROR(__xludf.DUMMYFUNCTION("""COMPUTED_VALUE"""),"")</f>
        <v/>
      </c>
      <c r="J7" s="14" t="str">
        <f>IFERROR(__xludf.DUMMYFUNCTION("""COMPUTED_VALUE"""),"")</f>
        <v/>
      </c>
      <c r="K7" s="14" t="str">
        <f>IFERROR(__xludf.DUMMYFUNCTION("""COMPUTED_VALUE"""),"")</f>
        <v/>
      </c>
      <c r="L7" s="14" t="str">
        <f>IFERROR(__xludf.DUMMYFUNCTION("""COMPUTED_VALUE"""),"")</f>
        <v/>
      </c>
      <c r="M7" s="14" t="str">
        <f>IFERROR(__xludf.DUMMYFUNCTION("""COMPUTED_VALUE"""),"")</f>
        <v/>
      </c>
      <c r="N7" s="14" t="str">
        <f>IFERROR(__xludf.DUMMYFUNCTION("""COMPUTED_VALUE"""),"")</f>
        <v/>
      </c>
      <c r="O7" s="14" t="str">
        <f>IFERROR(__xludf.DUMMYFUNCTION("""COMPUTED_VALUE"""),"")</f>
        <v/>
      </c>
      <c r="P7" s="14" t="str">
        <f>IFERROR(__xludf.DUMMYFUNCTION("""COMPUTED_VALUE"""),"")</f>
        <v/>
      </c>
      <c r="Q7" s="14" t="str">
        <f>IFERROR(__xludf.DUMMYFUNCTION("""COMPUTED_VALUE"""),"")</f>
        <v/>
      </c>
      <c r="R7" s="14" t="str">
        <f>IFERROR(__xludf.DUMMYFUNCTION("""COMPUTED_VALUE"""),"")</f>
        <v/>
      </c>
      <c r="S7" s="14" t="str">
        <f>IFERROR(__xludf.DUMMYFUNCTION("""COMPUTED_VALUE"""),"")</f>
        <v/>
      </c>
      <c r="T7" s="14" t="str">
        <f>IFERROR(__xludf.DUMMYFUNCTION("""COMPUTED_VALUE"""),"")</f>
        <v/>
      </c>
    </row>
    <row r="8">
      <c r="A8" s="14" t="str">
        <f>IFERROR(__xludf.DUMMYFUNCTION("""COMPUTED_VALUE"""),"")</f>
        <v/>
      </c>
      <c r="B8" s="14" t="str">
        <f>IFERROR(__xludf.DUMMYFUNCTION("""COMPUTED_VALUE"""),"")</f>
        <v/>
      </c>
      <c r="C8" s="14" t="str">
        <f>IFERROR(__xludf.DUMMYFUNCTION("""COMPUTED_VALUE"""),"")</f>
        <v/>
      </c>
      <c r="D8" s="14" t="str">
        <f>IFERROR(__xludf.DUMMYFUNCTION("""COMPUTED_VALUE"""),"")</f>
        <v/>
      </c>
      <c r="E8" s="14" t="str">
        <f>IFERROR(__xludf.DUMMYFUNCTION("""COMPUTED_VALUE"""),"")</f>
        <v/>
      </c>
      <c r="F8" s="14" t="str">
        <f>IFERROR(__xludf.DUMMYFUNCTION("""COMPUTED_VALUE"""),"")</f>
        <v/>
      </c>
      <c r="G8" s="14" t="str">
        <f>IFERROR(__xludf.DUMMYFUNCTION("""COMPUTED_VALUE"""),"")</f>
        <v/>
      </c>
      <c r="H8" s="14" t="str">
        <f>IFERROR(__xludf.DUMMYFUNCTION("""COMPUTED_VALUE"""),"")</f>
        <v/>
      </c>
      <c r="I8" s="14" t="str">
        <f>IFERROR(__xludf.DUMMYFUNCTION("""COMPUTED_VALUE"""),"")</f>
        <v/>
      </c>
      <c r="J8" s="14" t="str">
        <f>IFERROR(__xludf.DUMMYFUNCTION("""COMPUTED_VALUE"""),"")</f>
        <v/>
      </c>
      <c r="K8" s="14" t="str">
        <f>IFERROR(__xludf.DUMMYFUNCTION("""COMPUTED_VALUE"""),"")</f>
        <v/>
      </c>
      <c r="L8" s="14" t="str">
        <f>IFERROR(__xludf.DUMMYFUNCTION("""COMPUTED_VALUE"""),"")</f>
        <v/>
      </c>
      <c r="M8" s="14" t="str">
        <f>IFERROR(__xludf.DUMMYFUNCTION("""COMPUTED_VALUE"""),"")</f>
        <v/>
      </c>
      <c r="N8" s="14" t="str">
        <f>IFERROR(__xludf.DUMMYFUNCTION("""COMPUTED_VALUE"""),"")</f>
        <v/>
      </c>
      <c r="O8" s="14" t="str">
        <f>IFERROR(__xludf.DUMMYFUNCTION("""COMPUTED_VALUE"""),"")</f>
        <v/>
      </c>
      <c r="P8" s="14" t="str">
        <f>IFERROR(__xludf.DUMMYFUNCTION("""COMPUTED_VALUE"""),"")</f>
        <v/>
      </c>
      <c r="Q8" s="14" t="str">
        <f>IFERROR(__xludf.DUMMYFUNCTION("""COMPUTED_VALUE"""),"")</f>
        <v/>
      </c>
      <c r="R8" s="14" t="str">
        <f>IFERROR(__xludf.DUMMYFUNCTION("""COMPUTED_VALUE"""),"")</f>
        <v/>
      </c>
      <c r="S8" s="14" t="str">
        <f>IFERROR(__xludf.DUMMYFUNCTION("""COMPUTED_VALUE"""),"")</f>
        <v/>
      </c>
      <c r="T8" s="14" t="str">
        <f>IFERROR(__xludf.DUMMYFUNCTION("""COMPUTED_VALUE"""),"")</f>
        <v/>
      </c>
    </row>
    <row r="9">
      <c r="A9" s="14" t="str">
        <f>IFERROR(__xludf.DUMMYFUNCTION("""COMPUTED_VALUE"""),"")</f>
        <v/>
      </c>
      <c r="B9" s="14" t="str">
        <f>IFERROR(__xludf.DUMMYFUNCTION("""COMPUTED_VALUE"""),"")</f>
        <v/>
      </c>
      <c r="C9" s="14" t="str">
        <f>IFERROR(__xludf.DUMMYFUNCTION("""COMPUTED_VALUE"""),"")</f>
        <v/>
      </c>
      <c r="D9" s="14" t="str">
        <f>IFERROR(__xludf.DUMMYFUNCTION("""COMPUTED_VALUE"""),"")</f>
        <v/>
      </c>
      <c r="E9" s="14" t="str">
        <f>IFERROR(__xludf.DUMMYFUNCTION("""COMPUTED_VALUE"""),"")</f>
        <v/>
      </c>
      <c r="F9" s="14" t="str">
        <f>IFERROR(__xludf.DUMMYFUNCTION("""COMPUTED_VALUE"""),"")</f>
        <v/>
      </c>
      <c r="G9" s="14" t="str">
        <f>IFERROR(__xludf.DUMMYFUNCTION("""COMPUTED_VALUE"""),"")</f>
        <v/>
      </c>
      <c r="H9" s="14" t="str">
        <f>IFERROR(__xludf.DUMMYFUNCTION("""COMPUTED_VALUE"""),"")</f>
        <v/>
      </c>
      <c r="I9" s="14" t="str">
        <f>IFERROR(__xludf.DUMMYFUNCTION("""COMPUTED_VALUE"""),"")</f>
        <v/>
      </c>
      <c r="J9" s="14" t="str">
        <f>IFERROR(__xludf.DUMMYFUNCTION("""COMPUTED_VALUE"""),"")</f>
        <v/>
      </c>
      <c r="K9" s="14" t="str">
        <f>IFERROR(__xludf.DUMMYFUNCTION("""COMPUTED_VALUE"""),"")</f>
        <v/>
      </c>
      <c r="L9" s="14" t="str">
        <f>IFERROR(__xludf.DUMMYFUNCTION("""COMPUTED_VALUE"""),"")</f>
        <v/>
      </c>
      <c r="M9" s="14" t="str">
        <f>IFERROR(__xludf.DUMMYFUNCTION("""COMPUTED_VALUE"""),"")</f>
        <v/>
      </c>
      <c r="N9" s="14" t="str">
        <f>IFERROR(__xludf.DUMMYFUNCTION("""COMPUTED_VALUE"""),"")</f>
        <v/>
      </c>
      <c r="O9" s="14" t="str">
        <f>IFERROR(__xludf.DUMMYFUNCTION("""COMPUTED_VALUE"""),"")</f>
        <v/>
      </c>
      <c r="P9" s="14" t="str">
        <f>IFERROR(__xludf.DUMMYFUNCTION("""COMPUTED_VALUE"""),"")</f>
        <v/>
      </c>
      <c r="Q9" s="14" t="str">
        <f>IFERROR(__xludf.DUMMYFUNCTION("""COMPUTED_VALUE"""),"")</f>
        <v/>
      </c>
      <c r="R9" s="14" t="str">
        <f>IFERROR(__xludf.DUMMYFUNCTION("""COMPUTED_VALUE"""),"")</f>
        <v/>
      </c>
      <c r="S9" s="14" t="str">
        <f>IFERROR(__xludf.DUMMYFUNCTION("""COMPUTED_VALUE"""),"")</f>
        <v/>
      </c>
      <c r="T9" s="14" t="str">
        <f>IFERROR(__xludf.DUMMYFUNCTION("""COMPUTED_VALUE"""),"")</f>
        <v/>
      </c>
    </row>
    <row r="10">
      <c r="A10" s="14" t="str">
        <f>IFERROR(__xludf.DUMMYFUNCTION("""COMPUTED_VALUE"""),"")</f>
        <v/>
      </c>
      <c r="B10" s="14" t="str">
        <f>IFERROR(__xludf.DUMMYFUNCTION("""COMPUTED_VALUE"""),"")</f>
        <v/>
      </c>
      <c r="C10" s="14" t="str">
        <f>IFERROR(__xludf.DUMMYFUNCTION("""COMPUTED_VALUE"""),"")</f>
        <v/>
      </c>
      <c r="D10" s="14" t="str">
        <f>IFERROR(__xludf.DUMMYFUNCTION("""COMPUTED_VALUE"""),"")</f>
        <v/>
      </c>
      <c r="E10" s="14" t="str">
        <f>IFERROR(__xludf.DUMMYFUNCTION("""COMPUTED_VALUE"""),"")</f>
        <v/>
      </c>
      <c r="F10" s="14" t="str">
        <f>IFERROR(__xludf.DUMMYFUNCTION("""COMPUTED_VALUE"""),"")</f>
        <v/>
      </c>
      <c r="G10" s="14" t="str">
        <f>IFERROR(__xludf.DUMMYFUNCTION("""COMPUTED_VALUE"""),"")</f>
        <v/>
      </c>
      <c r="H10" s="14" t="str">
        <f>IFERROR(__xludf.DUMMYFUNCTION("""COMPUTED_VALUE"""),"")</f>
        <v/>
      </c>
      <c r="I10" s="14" t="str">
        <f>IFERROR(__xludf.DUMMYFUNCTION("""COMPUTED_VALUE"""),"")</f>
        <v/>
      </c>
      <c r="J10" s="14" t="str">
        <f>IFERROR(__xludf.DUMMYFUNCTION("""COMPUTED_VALUE"""),"")</f>
        <v/>
      </c>
      <c r="K10" s="14" t="str">
        <f>IFERROR(__xludf.DUMMYFUNCTION("""COMPUTED_VALUE"""),"")</f>
        <v/>
      </c>
      <c r="L10" s="14" t="str">
        <f>IFERROR(__xludf.DUMMYFUNCTION("""COMPUTED_VALUE"""),"")</f>
        <v/>
      </c>
      <c r="M10" s="14" t="str">
        <f>IFERROR(__xludf.DUMMYFUNCTION("""COMPUTED_VALUE"""),"")</f>
        <v/>
      </c>
      <c r="N10" s="14" t="str">
        <f>IFERROR(__xludf.DUMMYFUNCTION("""COMPUTED_VALUE"""),"")</f>
        <v/>
      </c>
      <c r="O10" s="14" t="str">
        <f>IFERROR(__xludf.DUMMYFUNCTION("""COMPUTED_VALUE"""),"")</f>
        <v/>
      </c>
      <c r="P10" s="14" t="str">
        <f>IFERROR(__xludf.DUMMYFUNCTION("""COMPUTED_VALUE"""),"")</f>
        <v/>
      </c>
      <c r="Q10" s="14" t="str">
        <f>IFERROR(__xludf.DUMMYFUNCTION("""COMPUTED_VALUE"""),"")</f>
        <v/>
      </c>
      <c r="R10" s="14" t="str">
        <f>IFERROR(__xludf.DUMMYFUNCTION("""COMPUTED_VALUE"""),"")</f>
        <v/>
      </c>
      <c r="S10" s="14" t="str">
        <f>IFERROR(__xludf.DUMMYFUNCTION("""COMPUTED_VALUE"""),"")</f>
        <v/>
      </c>
      <c r="T10" s="14" t="str">
        <f>IFERROR(__xludf.DUMMYFUNCTION("""COMPUTED_VALUE"""),"")</f>
        <v/>
      </c>
    </row>
    <row r="11">
      <c r="A11" s="14" t="str">
        <f>IFERROR(__xludf.DUMMYFUNCTION("""COMPUTED_VALUE"""),"")</f>
        <v/>
      </c>
      <c r="B11" s="14" t="str">
        <f>IFERROR(__xludf.DUMMYFUNCTION("""COMPUTED_VALUE"""),"")</f>
        <v/>
      </c>
      <c r="C11" s="14" t="str">
        <f>IFERROR(__xludf.DUMMYFUNCTION("""COMPUTED_VALUE"""),"")</f>
        <v/>
      </c>
      <c r="D11" s="14" t="str">
        <f>IFERROR(__xludf.DUMMYFUNCTION("""COMPUTED_VALUE"""),"")</f>
        <v/>
      </c>
      <c r="E11" s="14" t="str">
        <f>IFERROR(__xludf.DUMMYFUNCTION("""COMPUTED_VALUE"""),"")</f>
        <v/>
      </c>
      <c r="F11" s="14" t="str">
        <f>IFERROR(__xludf.DUMMYFUNCTION("""COMPUTED_VALUE"""),"")</f>
        <v/>
      </c>
      <c r="G11" s="14" t="str">
        <f>IFERROR(__xludf.DUMMYFUNCTION("""COMPUTED_VALUE"""),"")</f>
        <v/>
      </c>
      <c r="H11" s="14" t="str">
        <f>IFERROR(__xludf.DUMMYFUNCTION("""COMPUTED_VALUE"""),"")</f>
        <v/>
      </c>
      <c r="I11" s="14" t="str">
        <f>IFERROR(__xludf.DUMMYFUNCTION("""COMPUTED_VALUE"""),"")</f>
        <v/>
      </c>
      <c r="J11" s="14" t="str">
        <f>IFERROR(__xludf.DUMMYFUNCTION("""COMPUTED_VALUE"""),"")</f>
        <v/>
      </c>
      <c r="K11" s="14" t="str">
        <f>IFERROR(__xludf.DUMMYFUNCTION("""COMPUTED_VALUE"""),"")</f>
        <v/>
      </c>
      <c r="L11" s="14" t="str">
        <f>IFERROR(__xludf.DUMMYFUNCTION("""COMPUTED_VALUE"""),"")</f>
        <v/>
      </c>
      <c r="M11" s="14" t="str">
        <f>IFERROR(__xludf.DUMMYFUNCTION("""COMPUTED_VALUE"""),"")</f>
        <v/>
      </c>
      <c r="N11" s="14" t="str">
        <f>IFERROR(__xludf.DUMMYFUNCTION("""COMPUTED_VALUE"""),"")</f>
        <v/>
      </c>
      <c r="O11" s="14" t="str">
        <f>IFERROR(__xludf.DUMMYFUNCTION("""COMPUTED_VALUE"""),"")</f>
        <v/>
      </c>
      <c r="P11" s="14" t="str">
        <f>IFERROR(__xludf.DUMMYFUNCTION("""COMPUTED_VALUE"""),"")</f>
        <v/>
      </c>
      <c r="Q11" s="14" t="str">
        <f>IFERROR(__xludf.DUMMYFUNCTION("""COMPUTED_VALUE"""),"")</f>
        <v/>
      </c>
      <c r="R11" s="14" t="str">
        <f>IFERROR(__xludf.DUMMYFUNCTION("""COMPUTED_VALUE"""),"")</f>
        <v/>
      </c>
      <c r="S11" s="14" t="str">
        <f>IFERROR(__xludf.DUMMYFUNCTION("""COMPUTED_VALUE"""),"")</f>
        <v/>
      </c>
      <c r="T11" s="14" t="str">
        <f>IFERROR(__xludf.DUMMYFUNCTION("""COMPUTED_VALUE"""),"")</f>
        <v/>
      </c>
    </row>
    <row r="12">
      <c r="A12" s="14" t="str">
        <f>IFERROR(__xludf.DUMMYFUNCTION("""COMPUTED_VALUE"""),"")</f>
        <v/>
      </c>
      <c r="B12" s="14" t="str">
        <f>IFERROR(__xludf.DUMMYFUNCTION("""COMPUTED_VALUE"""),"")</f>
        <v/>
      </c>
      <c r="C12" s="14" t="str">
        <f>IFERROR(__xludf.DUMMYFUNCTION("""COMPUTED_VALUE"""),"")</f>
        <v/>
      </c>
      <c r="D12" s="14" t="str">
        <f>IFERROR(__xludf.DUMMYFUNCTION("""COMPUTED_VALUE"""),"")</f>
        <v/>
      </c>
      <c r="E12" s="14" t="str">
        <f>IFERROR(__xludf.DUMMYFUNCTION("""COMPUTED_VALUE"""),"")</f>
        <v/>
      </c>
      <c r="F12" s="14" t="str">
        <f>IFERROR(__xludf.DUMMYFUNCTION("""COMPUTED_VALUE"""),"")</f>
        <v/>
      </c>
      <c r="G12" s="14" t="str">
        <f>IFERROR(__xludf.DUMMYFUNCTION("""COMPUTED_VALUE"""),"")</f>
        <v/>
      </c>
      <c r="H12" s="14" t="str">
        <f>IFERROR(__xludf.DUMMYFUNCTION("""COMPUTED_VALUE"""),"")</f>
        <v/>
      </c>
      <c r="I12" s="14" t="str">
        <f>IFERROR(__xludf.DUMMYFUNCTION("""COMPUTED_VALUE"""),"")</f>
        <v/>
      </c>
      <c r="J12" s="14" t="str">
        <f>IFERROR(__xludf.DUMMYFUNCTION("""COMPUTED_VALUE"""),"")</f>
        <v/>
      </c>
      <c r="K12" s="14" t="str">
        <f>IFERROR(__xludf.DUMMYFUNCTION("""COMPUTED_VALUE"""),"")</f>
        <v/>
      </c>
      <c r="L12" s="14" t="str">
        <f>IFERROR(__xludf.DUMMYFUNCTION("""COMPUTED_VALUE"""),"")</f>
        <v/>
      </c>
      <c r="M12" s="14" t="str">
        <f>IFERROR(__xludf.DUMMYFUNCTION("""COMPUTED_VALUE"""),"")</f>
        <v/>
      </c>
      <c r="N12" s="14" t="str">
        <f>IFERROR(__xludf.DUMMYFUNCTION("""COMPUTED_VALUE"""),"")</f>
        <v/>
      </c>
      <c r="O12" s="14" t="str">
        <f>IFERROR(__xludf.DUMMYFUNCTION("""COMPUTED_VALUE"""),"")</f>
        <v/>
      </c>
      <c r="P12" s="14" t="str">
        <f>IFERROR(__xludf.DUMMYFUNCTION("""COMPUTED_VALUE"""),"")</f>
        <v/>
      </c>
      <c r="Q12" s="14" t="str">
        <f>IFERROR(__xludf.DUMMYFUNCTION("""COMPUTED_VALUE"""),"")</f>
        <v/>
      </c>
      <c r="R12" s="14" t="str">
        <f>IFERROR(__xludf.DUMMYFUNCTION("""COMPUTED_VALUE"""),"")</f>
        <v/>
      </c>
      <c r="S12" s="14" t="str">
        <f>IFERROR(__xludf.DUMMYFUNCTION("""COMPUTED_VALUE"""),"")</f>
        <v/>
      </c>
      <c r="T12" s="14" t="str">
        <f>IFERROR(__xludf.DUMMYFUNCTION("""COMPUTED_VALUE"""),"")</f>
        <v/>
      </c>
    </row>
    <row r="13">
      <c r="A13" s="14" t="str">
        <f>IFERROR(__xludf.DUMMYFUNCTION("""COMPUTED_VALUE"""),"")</f>
        <v/>
      </c>
      <c r="B13" s="14" t="str">
        <f>IFERROR(__xludf.DUMMYFUNCTION("""COMPUTED_VALUE"""),"")</f>
        <v/>
      </c>
      <c r="C13" s="14" t="str">
        <f>IFERROR(__xludf.DUMMYFUNCTION("""COMPUTED_VALUE"""),"")</f>
        <v/>
      </c>
      <c r="D13" s="14" t="str">
        <f>IFERROR(__xludf.DUMMYFUNCTION("""COMPUTED_VALUE"""),"")</f>
        <v/>
      </c>
      <c r="E13" s="14" t="str">
        <f>IFERROR(__xludf.DUMMYFUNCTION("""COMPUTED_VALUE"""),"")</f>
        <v/>
      </c>
      <c r="F13" s="14" t="str">
        <f>IFERROR(__xludf.DUMMYFUNCTION("""COMPUTED_VALUE"""),"")</f>
        <v/>
      </c>
      <c r="G13" s="14" t="str">
        <f>IFERROR(__xludf.DUMMYFUNCTION("""COMPUTED_VALUE"""),"")</f>
        <v/>
      </c>
      <c r="H13" s="14" t="str">
        <f>IFERROR(__xludf.DUMMYFUNCTION("""COMPUTED_VALUE"""),"")</f>
        <v/>
      </c>
      <c r="I13" s="14" t="str">
        <f>IFERROR(__xludf.DUMMYFUNCTION("""COMPUTED_VALUE"""),"")</f>
        <v/>
      </c>
      <c r="J13" s="14" t="str">
        <f>IFERROR(__xludf.DUMMYFUNCTION("""COMPUTED_VALUE"""),"")</f>
        <v/>
      </c>
      <c r="K13" s="14" t="str">
        <f>IFERROR(__xludf.DUMMYFUNCTION("""COMPUTED_VALUE"""),"")</f>
        <v/>
      </c>
      <c r="L13" s="14" t="str">
        <f>IFERROR(__xludf.DUMMYFUNCTION("""COMPUTED_VALUE"""),"")</f>
        <v/>
      </c>
      <c r="M13" s="14" t="str">
        <f>IFERROR(__xludf.DUMMYFUNCTION("""COMPUTED_VALUE"""),"")</f>
        <v/>
      </c>
      <c r="N13" s="14" t="str">
        <f>IFERROR(__xludf.DUMMYFUNCTION("""COMPUTED_VALUE"""),"")</f>
        <v/>
      </c>
      <c r="O13" s="14" t="str">
        <f>IFERROR(__xludf.DUMMYFUNCTION("""COMPUTED_VALUE"""),"")</f>
        <v/>
      </c>
      <c r="P13" s="14" t="str">
        <f>IFERROR(__xludf.DUMMYFUNCTION("""COMPUTED_VALUE"""),"")</f>
        <v/>
      </c>
      <c r="Q13" s="14" t="str">
        <f>IFERROR(__xludf.DUMMYFUNCTION("""COMPUTED_VALUE"""),"")</f>
        <v/>
      </c>
      <c r="R13" s="14" t="str">
        <f>IFERROR(__xludf.DUMMYFUNCTION("""COMPUTED_VALUE"""),"")</f>
        <v/>
      </c>
      <c r="S13" s="14" t="str">
        <f>IFERROR(__xludf.DUMMYFUNCTION("""COMPUTED_VALUE"""),"")</f>
        <v/>
      </c>
      <c r="T13" s="14" t="str">
        <f>IFERROR(__xludf.DUMMYFUNCTION("""COMPUTED_VALUE"""),"")</f>
        <v/>
      </c>
    </row>
    <row r="14">
      <c r="A14" s="14" t="str">
        <f>IFERROR(__xludf.DUMMYFUNCTION("""COMPUTED_VALUE"""),"")</f>
        <v/>
      </c>
      <c r="B14" s="14" t="str">
        <f>IFERROR(__xludf.DUMMYFUNCTION("""COMPUTED_VALUE"""),"")</f>
        <v/>
      </c>
      <c r="C14" s="14" t="str">
        <f>IFERROR(__xludf.DUMMYFUNCTION("""COMPUTED_VALUE"""),"")</f>
        <v/>
      </c>
      <c r="D14" s="14" t="str">
        <f>IFERROR(__xludf.DUMMYFUNCTION("""COMPUTED_VALUE"""),"")</f>
        <v/>
      </c>
      <c r="E14" s="14" t="str">
        <f>IFERROR(__xludf.DUMMYFUNCTION("""COMPUTED_VALUE"""),"")</f>
        <v/>
      </c>
      <c r="F14" s="14" t="str">
        <f>IFERROR(__xludf.DUMMYFUNCTION("""COMPUTED_VALUE"""),"")</f>
        <v/>
      </c>
      <c r="G14" s="14" t="str">
        <f>IFERROR(__xludf.DUMMYFUNCTION("""COMPUTED_VALUE"""),"")</f>
        <v/>
      </c>
      <c r="H14" s="14" t="str">
        <f>IFERROR(__xludf.DUMMYFUNCTION("""COMPUTED_VALUE"""),"")</f>
        <v/>
      </c>
      <c r="I14" s="14" t="str">
        <f>IFERROR(__xludf.DUMMYFUNCTION("""COMPUTED_VALUE"""),"")</f>
        <v/>
      </c>
      <c r="J14" s="14" t="str">
        <f>IFERROR(__xludf.DUMMYFUNCTION("""COMPUTED_VALUE"""),"")</f>
        <v/>
      </c>
      <c r="K14" s="14" t="str">
        <f>IFERROR(__xludf.DUMMYFUNCTION("""COMPUTED_VALUE"""),"")</f>
        <v/>
      </c>
      <c r="L14" s="14" t="str">
        <f>IFERROR(__xludf.DUMMYFUNCTION("""COMPUTED_VALUE"""),"")</f>
        <v/>
      </c>
      <c r="M14" s="14" t="str">
        <f>IFERROR(__xludf.DUMMYFUNCTION("""COMPUTED_VALUE"""),"")</f>
        <v/>
      </c>
      <c r="N14" s="14" t="str">
        <f>IFERROR(__xludf.DUMMYFUNCTION("""COMPUTED_VALUE"""),"")</f>
        <v/>
      </c>
      <c r="O14" s="14" t="str">
        <f>IFERROR(__xludf.DUMMYFUNCTION("""COMPUTED_VALUE"""),"")</f>
        <v/>
      </c>
      <c r="P14" s="14" t="str">
        <f>IFERROR(__xludf.DUMMYFUNCTION("""COMPUTED_VALUE"""),"")</f>
        <v/>
      </c>
      <c r="Q14" s="14" t="str">
        <f>IFERROR(__xludf.DUMMYFUNCTION("""COMPUTED_VALUE"""),"")</f>
        <v/>
      </c>
      <c r="R14" s="14" t="str">
        <f>IFERROR(__xludf.DUMMYFUNCTION("""COMPUTED_VALUE"""),"")</f>
        <v/>
      </c>
      <c r="S14" s="14" t="str">
        <f>IFERROR(__xludf.DUMMYFUNCTION("""COMPUTED_VALUE"""),"")</f>
        <v/>
      </c>
      <c r="T14" s="14" t="str">
        <f>IFERROR(__xludf.DUMMYFUNCTION("""COMPUTED_VALUE"""),"")</f>
        <v/>
      </c>
    </row>
    <row r="15">
      <c r="A15" s="14" t="str">
        <f>IFERROR(__xludf.DUMMYFUNCTION("""COMPUTED_VALUE"""),"")</f>
        <v/>
      </c>
      <c r="B15" s="14" t="str">
        <f>IFERROR(__xludf.DUMMYFUNCTION("""COMPUTED_VALUE"""),"")</f>
        <v/>
      </c>
      <c r="C15" s="14" t="str">
        <f>IFERROR(__xludf.DUMMYFUNCTION("""COMPUTED_VALUE"""),"")</f>
        <v/>
      </c>
      <c r="D15" s="14" t="str">
        <f>IFERROR(__xludf.DUMMYFUNCTION("""COMPUTED_VALUE"""),"")</f>
        <v/>
      </c>
      <c r="E15" s="14" t="str">
        <f>IFERROR(__xludf.DUMMYFUNCTION("""COMPUTED_VALUE"""),"")</f>
        <v/>
      </c>
      <c r="F15" s="14" t="str">
        <f>IFERROR(__xludf.DUMMYFUNCTION("""COMPUTED_VALUE"""),"")</f>
        <v/>
      </c>
      <c r="G15" s="14" t="str">
        <f>IFERROR(__xludf.DUMMYFUNCTION("""COMPUTED_VALUE"""),"")</f>
        <v/>
      </c>
      <c r="H15" s="14" t="str">
        <f>IFERROR(__xludf.DUMMYFUNCTION("""COMPUTED_VALUE"""),"")</f>
        <v/>
      </c>
      <c r="I15" s="14" t="str">
        <f>IFERROR(__xludf.DUMMYFUNCTION("""COMPUTED_VALUE"""),"")</f>
        <v/>
      </c>
      <c r="J15" s="14" t="str">
        <f>IFERROR(__xludf.DUMMYFUNCTION("""COMPUTED_VALUE"""),"")</f>
        <v/>
      </c>
      <c r="K15" s="14" t="str">
        <f>IFERROR(__xludf.DUMMYFUNCTION("""COMPUTED_VALUE"""),"")</f>
        <v/>
      </c>
      <c r="L15" s="14" t="str">
        <f>IFERROR(__xludf.DUMMYFUNCTION("""COMPUTED_VALUE"""),"")</f>
        <v/>
      </c>
      <c r="M15" s="14" t="str">
        <f>IFERROR(__xludf.DUMMYFUNCTION("""COMPUTED_VALUE"""),"")</f>
        <v/>
      </c>
      <c r="N15" s="14" t="str">
        <f>IFERROR(__xludf.DUMMYFUNCTION("""COMPUTED_VALUE"""),"")</f>
        <v/>
      </c>
      <c r="O15" s="14" t="str">
        <f>IFERROR(__xludf.DUMMYFUNCTION("""COMPUTED_VALUE"""),"")</f>
        <v/>
      </c>
      <c r="P15" s="14" t="str">
        <f>IFERROR(__xludf.DUMMYFUNCTION("""COMPUTED_VALUE"""),"")</f>
        <v/>
      </c>
      <c r="Q15" s="14" t="str">
        <f>IFERROR(__xludf.DUMMYFUNCTION("""COMPUTED_VALUE"""),"")</f>
        <v/>
      </c>
      <c r="R15" s="14" t="str">
        <f>IFERROR(__xludf.DUMMYFUNCTION("""COMPUTED_VALUE"""),"")</f>
        <v/>
      </c>
      <c r="S15" s="14" t="str">
        <f>IFERROR(__xludf.DUMMYFUNCTION("""COMPUTED_VALUE"""),"")</f>
        <v/>
      </c>
      <c r="T15" s="14" t="str">
        <f>IFERROR(__xludf.DUMMYFUNCTION("""COMPUTED_VALUE"""),"")</f>
        <v/>
      </c>
    </row>
    <row r="16">
      <c r="A16" s="14" t="str">
        <f>IFERROR(__xludf.DUMMYFUNCTION("""COMPUTED_VALUE"""),"")</f>
        <v/>
      </c>
      <c r="B16" s="14" t="str">
        <f>IFERROR(__xludf.DUMMYFUNCTION("""COMPUTED_VALUE"""),"")</f>
        <v/>
      </c>
      <c r="C16" s="14" t="str">
        <f>IFERROR(__xludf.DUMMYFUNCTION("""COMPUTED_VALUE"""),"")</f>
        <v/>
      </c>
      <c r="D16" s="14" t="str">
        <f>IFERROR(__xludf.DUMMYFUNCTION("""COMPUTED_VALUE"""),"")</f>
        <v/>
      </c>
      <c r="E16" s="14" t="str">
        <f>IFERROR(__xludf.DUMMYFUNCTION("""COMPUTED_VALUE"""),"")</f>
        <v/>
      </c>
      <c r="F16" s="14" t="str">
        <f>IFERROR(__xludf.DUMMYFUNCTION("""COMPUTED_VALUE"""),"")</f>
        <v/>
      </c>
      <c r="G16" s="14" t="str">
        <f>IFERROR(__xludf.DUMMYFUNCTION("""COMPUTED_VALUE"""),"")</f>
        <v/>
      </c>
      <c r="H16" s="14" t="str">
        <f>IFERROR(__xludf.DUMMYFUNCTION("""COMPUTED_VALUE"""),"")</f>
        <v/>
      </c>
      <c r="I16" s="14" t="str">
        <f>IFERROR(__xludf.DUMMYFUNCTION("""COMPUTED_VALUE"""),"")</f>
        <v/>
      </c>
      <c r="J16" s="14" t="str">
        <f>IFERROR(__xludf.DUMMYFUNCTION("""COMPUTED_VALUE"""),"")</f>
        <v/>
      </c>
      <c r="K16" s="14" t="str">
        <f>IFERROR(__xludf.DUMMYFUNCTION("""COMPUTED_VALUE"""),"")</f>
        <v/>
      </c>
      <c r="L16" s="14" t="str">
        <f>IFERROR(__xludf.DUMMYFUNCTION("""COMPUTED_VALUE"""),"")</f>
        <v/>
      </c>
      <c r="M16" s="14" t="str">
        <f>IFERROR(__xludf.DUMMYFUNCTION("""COMPUTED_VALUE"""),"")</f>
        <v/>
      </c>
      <c r="N16" s="14" t="str">
        <f>IFERROR(__xludf.DUMMYFUNCTION("""COMPUTED_VALUE"""),"")</f>
        <v/>
      </c>
      <c r="O16" s="14" t="str">
        <f>IFERROR(__xludf.DUMMYFUNCTION("""COMPUTED_VALUE"""),"")</f>
        <v/>
      </c>
      <c r="P16" s="14" t="str">
        <f>IFERROR(__xludf.DUMMYFUNCTION("""COMPUTED_VALUE"""),"")</f>
        <v/>
      </c>
      <c r="Q16" s="14" t="str">
        <f>IFERROR(__xludf.DUMMYFUNCTION("""COMPUTED_VALUE"""),"")</f>
        <v/>
      </c>
      <c r="R16" s="14" t="str">
        <f>IFERROR(__xludf.DUMMYFUNCTION("""COMPUTED_VALUE"""),"")</f>
        <v/>
      </c>
      <c r="S16" s="14" t="str">
        <f>IFERROR(__xludf.DUMMYFUNCTION("""COMPUTED_VALUE"""),"")</f>
        <v/>
      </c>
      <c r="T16" s="14" t="str">
        <f>IFERROR(__xludf.DUMMYFUNCTION("""COMPUTED_VALUE"""),"")</f>
        <v/>
      </c>
    </row>
    <row r="17">
      <c r="A17" s="14" t="str">
        <f>IFERROR(__xludf.DUMMYFUNCTION("""COMPUTED_VALUE"""),"")</f>
        <v/>
      </c>
      <c r="B17" s="14" t="str">
        <f>IFERROR(__xludf.DUMMYFUNCTION("""COMPUTED_VALUE"""),"")</f>
        <v/>
      </c>
      <c r="C17" s="14" t="str">
        <f>IFERROR(__xludf.DUMMYFUNCTION("""COMPUTED_VALUE"""),"")</f>
        <v/>
      </c>
      <c r="D17" s="14" t="str">
        <f>IFERROR(__xludf.DUMMYFUNCTION("""COMPUTED_VALUE"""),"")</f>
        <v/>
      </c>
      <c r="E17" s="14" t="str">
        <f>IFERROR(__xludf.DUMMYFUNCTION("""COMPUTED_VALUE"""),"")</f>
        <v/>
      </c>
      <c r="F17" s="14" t="str">
        <f>IFERROR(__xludf.DUMMYFUNCTION("""COMPUTED_VALUE"""),"")</f>
        <v/>
      </c>
      <c r="G17" s="14" t="str">
        <f>IFERROR(__xludf.DUMMYFUNCTION("""COMPUTED_VALUE"""),"")</f>
        <v/>
      </c>
      <c r="H17" s="14" t="str">
        <f>IFERROR(__xludf.DUMMYFUNCTION("""COMPUTED_VALUE"""),"")</f>
        <v/>
      </c>
      <c r="I17" s="14" t="str">
        <f>IFERROR(__xludf.DUMMYFUNCTION("""COMPUTED_VALUE"""),"")</f>
        <v/>
      </c>
      <c r="J17" s="14" t="str">
        <f>IFERROR(__xludf.DUMMYFUNCTION("""COMPUTED_VALUE"""),"")</f>
        <v/>
      </c>
      <c r="K17" s="14" t="str">
        <f>IFERROR(__xludf.DUMMYFUNCTION("""COMPUTED_VALUE"""),"")</f>
        <v/>
      </c>
      <c r="L17" s="14" t="str">
        <f>IFERROR(__xludf.DUMMYFUNCTION("""COMPUTED_VALUE"""),"")</f>
        <v/>
      </c>
      <c r="M17" s="14" t="str">
        <f>IFERROR(__xludf.DUMMYFUNCTION("""COMPUTED_VALUE"""),"")</f>
        <v/>
      </c>
      <c r="N17" s="14" t="str">
        <f>IFERROR(__xludf.DUMMYFUNCTION("""COMPUTED_VALUE"""),"")</f>
        <v/>
      </c>
      <c r="O17" s="14" t="str">
        <f>IFERROR(__xludf.DUMMYFUNCTION("""COMPUTED_VALUE"""),"")</f>
        <v/>
      </c>
      <c r="P17" s="14" t="str">
        <f>IFERROR(__xludf.DUMMYFUNCTION("""COMPUTED_VALUE"""),"")</f>
        <v/>
      </c>
      <c r="Q17" s="14" t="str">
        <f>IFERROR(__xludf.DUMMYFUNCTION("""COMPUTED_VALUE"""),"")</f>
        <v/>
      </c>
      <c r="R17" s="14" t="str">
        <f>IFERROR(__xludf.DUMMYFUNCTION("""COMPUTED_VALUE"""),"")</f>
        <v/>
      </c>
      <c r="S17" s="14" t="str">
        <f>IFERROR(__xludf.DUMMYFUNCTION("""COMPUTED_VALUE"""),"")</f>
        <v/>
      </c>
      <c r="T17" s="14" t="str">
        <f>IFERROR(__xludf.DUMMYFUNCTION("""COMPUTED_VALUE"""),"")</f>
        <v/>
      </c>
    </row>
    <row r="18">
      <c r="A18" s="14" t="str">
        <f>IFERROR(__xludf.DUMMYFUNCTION("""COMPUTED_VALUE"""),"")</f>
        <v/>
      </c>
      <c r="B18" s="14" t="str">
        <f>IFERROR(__xludf.DUMMYFUNCTION("""COMPUTED_VALUE"""),"")</f>
        <v/>
      </c>
      <c r="C18" s="14" t="str">
        <f>IFERROR(__xludf.DUMMYFUNCTION("""COMPUTED_VALUE"""),"")</f>
        <v/>
      </c>
      <c r="D18" s="14" t="str">
        <f>IFERROR(__xludf.DUMMYFUNCTION("""COMPUTED_VALUE"""),"")</f>
        <v/>
      </c>
      <c r="E18" s="14" t="str">
        <f>IFERROR(__xludf.DUMMYFUNCTION("""COMPUTED_VALUE"""),"")</f>
        <v/>
      </c>
      <c r="F18" s="14" t="str">
        <f>IFERROR(__xludf.DUMMYFUNCTION("""COMPUTED_VALUE"""),"")</f>
        <v/>
      </c>
      <c r="G18" s="14" t="str">
        <f>IFERROR(__xludf.DUMMYFUNCTION("""COMPUTED_VALUE"""),"")</f>
        <v/>
      </c>
      <c r="H18" s="14" t="str">
        <f>IFERROR(__xludf.DUMMYFUNCTION("""COMPUTED_VALUE"""),"")</f>
        <v/>
      </c>
      <c r="I18" s="14" t="str">
        <f>IFERROR(__xludf.DUMMYFUNCTION("""COMPUTED_VALUE"""),"")</f>
        <v/>
      </c>
      <c r="J18" s="14" t="str">
        <f>IFERROR(__xludf.DUMMYFUNCTION("""COMPUTED_VALUE"""),"")</f>
        <v/>
      </c>
      <c r="K18" s="14" t="str">
        <f>IFERROR(__xludf.DUMMYFUNCTION("""COMPUTED_VALUE"""),"")</f>
        <v/>
      </c>
      <c r="L18" s="14" t="str">
        <f>IFERROR(__xludf.DUMMYFUNCTION("""COMPUTED_VALUE"""),"")</f>
        <v/>
      </c>
      <c r="M18" s="14" t="str">
        <f>IFERROR(__xludf.DUMMYFUNCTION("""COMPUTED_VALUE"""),"")</f>
        <v/>
      </c>
      <c r="N18" s="14" t="str">
        <f>IFERROR(__xludf.DUMMYFUNCTION("""COMPUTED_VALUE"""),"")</f>
        <v/>
      </c>
      <c r="O18" s="14" t="str">
        <f>IFERROR(__xludf.DUMMYFUNCTION("""COMPUTED_VALUE"""),"")</f>
        <v/>
      </c>
      <c r="P18" s="14" t="str">
        <f>IFERROR(__xludf.DUMMYFUNCTION("""COMPUTED_VALUE"""),"")</f>
        <v/>
      </c>
      <c r="Q18" s="14" t="str">
        <f>IFERROR(__xludf.DUMMYFUNCTION("""COMPUTED_VALUE"""),"")</f>
        <v/>
      </c>
      <c r="R18" s="14" t="str">
        <f>IFERROR(__xludf.DUMMYFUNCTION("""COMPUTED_VALUE"""),"")</f>
        <v/>
      </c>
      <c r="S18" s="14" t="str">
        <f>IFERROR(__xludf.DUMMYFUNCTION("""COMPUTED_VALUE"""),"")</f>
        <v/>
      </c>
      <c r="T18" s="14" t="str">
        <f>IFERROR(__xludf.DUMMYFUNCTION("""COMPUTED_VALUE"""),"")</f>
        <v/>
      </c>
    </row>
    <row r="19">
      <c r="A19" s="14" t="str">
        <f>IFERROR(__xludf.DUMMYFUNCTION("""COMPUTED_VALUE"""),"")</f>
        <v/>
      </c>
      <c r="B19" s="14" t="str">
        <f>IFERROR(__xludf.DUMMYFUNCTION("""COMPUTED_VALUE"""),"")</f>
        <v/>
      </c>
      <c r="C19" s="14" t="str">
        <f>IFERROR(__xludf.DUMMYFUNCTION("""COMPUTED_VALUE"""),"")</f>
        <v/>
      </c>
      <c r="D19" s="14" t="str">
        <f>IFERROR(__xludf.DUMMYFUNCTION("""COMPUTED_VALUE"""),"")</f>
        <v/>
      </c>
      <c r="E19" s="14" t="str">
        <f>IFERROR(__xludf.DUMMYFUNCTION("""COMPUTED_VALUE"""),"")</f>
        <v/>
      </c>
      <c r="F19" s="14" t="str">
        <f>IFERROR(__xludf.DUMMYFUNCTION("""COMPUTED_VALUE"""),"")</f>
        <v/>
      </c>
      <c r="G19" s="14" t="str">
        <f>IFERROR(__xludf.DUMMYFUNCTION("""COMPUTED_VALUE"""),"")</f>
        <v/>
      </c>
      <c r="H19" s="14" t="str">
        <f>IFERROR(__xludf.DUMMYFUNCTION("""COMPUTED_VALUE"""),"")</f>
        <v/>
      </c>
      <c r="I19" s="14" t="str">
        <f>IFERROR(__xludf.DUMMYFUNCTION("""COMPUTED_VALUE"""),"")</f>
        <v/>
      </c>
      <c r="J19" s="14" t="str">
        <f>IFERROR(__xludf.DUMMYFUNCTION("""COMPUTED_VALUE"""),"")</f>
        <v/>
      </c>
      <c r="K19" s="14" t="str">
        <f>IFERROR(__xludf.DUMMYFUNCTION("""COMPUTED_VALUE"""),"")</f>
        <v/>
      </c>
      <c r="L19" s="14" t="str">
        <f>IFERROR(__xludf.DUMMYFUNCTION("""COMPUTED_VALUE"""),"")</f>
        <v/>
      </c>
      <c r="M19" s="14" t="str">
        <f>IFERROR(__xludf.DUMMYFUNCTION("""COMPUTED_VALUE"""),"")</f>
        <v/>
      </c>
      <c r="N19" s="14" t="str">
        <f>IFERROR(__xludf.DUMMYFUNCTION("""COMPUTED_VALUE"""),"")</f>
        <v/>
      </c>
      <c r="O19" s="14" t="str">
        <f>IFERROR(__xludf.DUMMYFUNCTION("""COMPUTED_VALUE"""),"")</f>
        <v/>
      </c>
      <c r="P19" s="14" t="str">
        <f>IFERROR(__xludf.DUMMYFUNCTION("""COMPUTED_VALUE"""),"")</f>
        <v/>
      </c>
      <c r="Q19" s="14" t="str">
        <f>IFERROR(__xludf.DUMMYFUNCTION("""COMPUTED_VALUE"""),"")</f>
        <v/>
      </c>
      <c r="R19" s="14" t="str">
        <f>IFERROR(__xludf.DUMMYFUNCTION("""COMPUTED_VALUE"""),"")</f>
        <v/>
      </c>
      <c r="S19" s="14" t="str">
        <f>IFERROR(__xludf.DUMMYFUNCTION("""COMPUTED_VALUE"""),"")</f>
        <v/>
      </c>
      <c r="T19" s="14" t="str">
        <f>IFERROR(__xludf.DUMMYFUNCTION("""COMPUTED_VALUE"""),"")</f>
        <v/>
      </c>
    </row>
    <row r="20">
      <c r="A20" s="14" t="str">
        <f>IFERROR(__xludf.DUMMYFUNCTION("""COMPUTED_VALUE"""),"")</f>
        <v/>
      </c>
      <c r="B20" s="14" t="str">
        <f>IFERROR(__xludf.DUMMYFUNCTION("""COMPUTED_VALUE"""),"")</f>
        <v/>
      </c>
      <c r="C20" s="14" t="str">
        <f>IFERROR(__xludf.DUMMYFUNCTION("""COMPUTED_VALUE"""),"")</f>
        <v/>
      </c>
      <c r="D20" s="14" t="str">
        <f>IFERROR(__xludf.DUMMYFUNCTION("""COMPUTED_VALUE"""),"")</f>
        <v/>
      </c>
      <c r="E20" s="14" t="str">
        <f>IFERROR(__xludf.DUMMYFUNCTION("""COMPUTED_VALUE"""),"")</f>
        <v/>
      </c>
      <c r="F20" s="14" t="str">
        <f>IFERROR(__xludf.DUMMYFUNCTION("""COMPUTED_VALUE"""),"")</f>
        <v/>
      </c>
      <c r="G20" s="14" t="str">
        <f>IFERROR(__xludf.DUMMYFUNCTION("""COMPUTED_VALUE"""),"")</f>
        <v/>
      </c>
      <c r="H20" s="14" t="str">
        <f>IFERROR(__xludf.DUMMYFUNCTION("""COMPUTED_VALUE"""),"")</f>
        <v/>
      </c>
      <c r="I20" s="14" t="str">
        <f>IFERROR(__xludf.DUMMYFUNCTION("""COMPUTED_VALUE"""),"")</f>
        <v/>
      </c>
      <c r="J20" s="14" t="str">
        <f>IFERROR(__xludf.DUMMYFUNCTION("""COMPUTED_VALUE"""),"")</f>
        <v/>
      </c>
      <c r="K20" s="14" t="str">
        <f>IFERROR(__xludf.DUMMYFUNCTION("""COMPUTED_VALUE"""),"")</f>
        <v/>
      </c>
      <c r="L20" s="14" t="str">
        <f>IFERROR(__xludf.DUMMYFUNCTION("""COMPUTED_VALUE"""),"")</f>
        <v/>
      </c>
      <c r="M20" s="14" t="str">
        <f>IFERROR(__xludf.DUMMYFUNCTION("""COMPUTED_VALUE"""),"")</f>
        <v/>
      </c>
      <c r="N20" s="14" t="str">
        <f>IFERROR(__xludf.DUMMYFUNCTION("""COMPUTED_VALUE"""),"")</f>
        <v/>
      </c>
      <c r="O20" s="14" t="str">
        <f>IFERROR(__xludf.DUMMYFUNCTION("""COMPUTED_VALUE"""),"")</f>
        <v/>
      </c>
      <c r="P20" s="14" t="str">
        <f>IFERROR(__xludf.DUMMYFUNCTION("""COMPUTED_VALUE"""),"")</f>
        <v/>
      </c>
      <c r="Q20" s="14" t="str">
        <f>IFERROR(__xludf.DUMMYFUNCTION("""COMPUTED_VALUE"""),"")</f>
        <v/>
      </c>
      <c r="R20" s="14" t="str">
        <f>IFERROR(__xludf.DUMMYFUNCTION("""COMPUTED_VALUE"""),"")</f>
        <v/>
      </c>
      <c r="S20" s="14" t="str">
        <f>IFERROR(__xludf.DUMMYFUNCTION("""COMPUTED_VALUE"""),"")</f>
        <v/>
      </c>
      <c r="T20" s="14" t="str">
        <f>IFERROR(__xludf.DUMMYFUNCTION("""COMPUTED_VALUE"""),"")</f>
        <v/>
      </c>
    </row>
    <row r="21">
      <c r="A21" s="14" t="str">
        <f>IFERROR(__xludf.DUMMYFUNCTION("""COMPUTED_VALUE"""),"")</f>
        <v/>
      </c>
      <c r="B21" s="14" t="str">
        <f>IFERROR(__xludf.DUMMYFUNCTION("""COMPUTED_VALUE"""),"")</f>
        <v/>
      </c>
      <c r="C21" s="14" t="str">
        <f>IFERROR(__xludf.DUMMYFUNCTION("""COMPUTED_VALUE"""),"")</f>
        <v/>
      </c>
      <c r="D21" s="14" t="str">
        <f>IFERROR(__xludf.DUMMYFUNCTION("""COMPUTED_VALUE"""),"")</f>
        <v/>
      </c>
      <c r="E21" s="14" t="str">
        <f>IFERROR(__xludf.DUMMYFUNCTION("""COMPUTED_VALUE"""),"")</f>
        <v/>
      </c>
      <c r="F21" s="14" t="str">
        <f>IFERROR(__xludf.DUMMYFUNCTION("""COMPUTED_VALUE"""),"")</f>
        <v/>
      </c>
      <c r="G21" s="14" t="str">
        <f>IFERROR(__xludf.DUMMYFUNCTION("""COMPUTED_VALUE"""),"")</f>
        <v/>
      </c>
      <c r="H21" s="14" t="str">
        <f>IFERROR(__xludf.DUMMYFUNCTION("""COMPUTED_VALUE"""),"")</f>
        <v/>
      </c>
      <c r="I21" s="14" t="str">
        <f>IFERROR(__xludf.DUMMYFUNCTION("""COMPUTED_VALUE"""),"")</f>
        <v/>
      </c>
      <c r="J21" s="14" t="str">
        <f>IFERROR(__xludf.DUMMYFUNCTION("""COMPUTED_VALUE"""),"")</f>
        <v/>
      </c>
      <c r="K21" s="14" t="str">
        <f>IFERROR(__xludf.DUMMYFUNCTION("""COMPUTED_VALUE"""),"")</f>
        <v/>
      </c>
      <c r="L21" s="14" t="str">
        <f>IFERROR(__xludf.DUMMYFUNCTION("""COMPUTED_VALUE"""),"")</f>
        <v/>
      </c>
      <c r="M21" s="14" t="str">
        <f>IFERROR(__xludf.DUMMYFUNCTION("""COMPUTED_VALUE"""),"")</f>
        <v/>
      </c>
      <c r="N21" s="14" t="str">
        <f>IFERROR(__xludf.DUMMYFUNCTION("""COMPUTED_VALUE"""),"")</f>
        <v/>
      </c>
      <c r="O21" s="14" t="str">
        <f>IFERROR(__xludf.DUMMYFUNCTION("""COMPUTED_VALUE"""),"")</f>
        <v/>
      </c>
      <c r="P21" s="14" t="str">
        <f>IFERROR(__xludf.DUMMYFUNCTION("""COMPUTED_VALUE"""),"")</f>
        <v/>
      </c>
      <c r="Q21" s="14" t="str">
        <f>IFERROR(__xludf.DUMMYFUNCTION("""COMPUTED_VALUE"""),"")</f>
        <v/>
      </c>
      <c r="R21" s="14" t="str">
        <f>IFERROR(__xludf.DUMMYFUNCTION("""COMPUTED_VALUE"""),"")</f>
        <v/>
      </c>
      <c r="S21" s="14" t="str">
        <f>IFERROR(__xludf.DUMMYFUNCTION("""COMPUTED_VALUE"""),"")</f>
        <v/>
      </c>
      <c r="T21" s="14" t="str">
        <f>IFERROR(__xludf.DUMMYFUNCTION("""COMPUTED_VALUE"""),"")</f>
        <v/>
      </c>
    </row>
    <row r="22">
      <c r="A22" s="14" t="str">
        <f>IFERROR(__xludf.DUMMYFUNCTION("""COMPUTED_VALUE"""),"")</f>
        <v/>
      </c>
      <c r="B22" s="14" t="str">
        <f>IFERROR(__xludf.DUMMYFUNCTION("""COMPUTED_VALUE"""),"")</f>
        <v/>
      </c>
      <c r="C22" s="14" t="str">
        <f>IFERROR(__xludf.DUMMYFUNCTION("""COMPUTED_VALUE"""),"")</f>
        <v/>
      </c>
      <c r="D22" s="14" t="str">
        <f>IFERROR(__xludf.DUMMYFUNCTION("""COMPUTED_VALUE"""),"")</f>
        <v/>
      </c>
      <c r="E22" s="14" t="str">
        <f>IFERROR(__xludf.DUMMYFUNCTION("""COMPUTED_VALUE"""),"")</f>
        <v/>
      </c>
      <c r="F22" s="14" t="str">
        <f>IFERROR(__xludf.DUMMYFUNCTION("""COMPUTED_VALUE"""),"")</f>
        <v/>
      </c>
      <c r="G22" s="14" t="str">
        <f>IFERROR(__xludf.DUMMYFUNCTION("""COMPUTED_VALUE"""),"")</f>
        <v/>
      </c>
      <c r="H22" s="14" t="str">
        <f>IFERROR(__xludf.DUMMYFUNCTION("""COMPUTED_VALUE"""),"")</f>
        <v/>
      </c>
      <c r="I22" s="14" t="str">
        <f>IFERROR(__xludf.DUMMYFUNCTION("""COMPUTED_VALUE"""),"")</f>
        <v/>
      </c>
      <c r="J22" s="14" t="str">
        <f>IFERROR(__xludf.DUMMYFUNCTION("""COMPUTED_VALUE"""),"")</f>
        <v/>
      </c>
      <c r="K22" s="14" t="str">
        <f>IFERROR(__xludf.DUMMYFUNCTION("""COMPUTED_VALUE"""),"")</f>
        <v/>
      </c>
      <c r="L22" s="14" t="str">
        <f>IFERROR(__xludf.DUMMYFUNCTION("""COMPUTED_VALUE"""),"")</f>
        <v/>
      </c>
      <c r="M22" s="14" t="str">
        <f>IFERROR(__xludf.DUMMYFUNCTION("""COMPUTED_VALUE"""),"")</f>
        <v/>
      </c>
      <c r="N22" s="14" t="str">
        <f>IFERROR(__xludf.DUMMYFUNCTION("""COMPUTED_VALUE"""),"")</f>
        <v/>
      </c>
      <c r="O22" s="14" t="str">
        <f>IFERROR(__xludf.DUMMYFUNCTION("""COMPUTED_VALUE"""),"")</f>
        <v/>
      </c>
      <c r="P22" s="14" t="str">
        <f>IFERROR(__xludf.DUMMYFUNCTION("""COMPUTED_VALUE"""),"")</f>
        <v/>
      </c>
      <c r="Q22" s="14" t="str">
        <f>IFERROR(__xludf.DUMMYFUNCTION("""COMPUTED_VALUE"""),"")</f>
        <v/>
      </c>
      <c r="R22" s="14" t="str">
        <f>IFERROR(__xludf.DUMMYFUNCTION("""COMPUTED_VALUE"""),"")</f>
        <v/>
      </c>
      <c r="S22" s="14" t="str">
        <f>IFERROR(__xludf.DUMMYFUNCTION("""COMPUTED_VALUE"""),"")</f>
        <v/>
      </c>
      <c r="T22" s="14" t="str">
        <f>IFERROR(__xludf.DUMMYFUNCTION("""COMPUTED_VALUE"""),"")</f>
        <v/>
      </c>
    </row>
    <row r="23">
      <c r="A23" s="14" t="str">
        <f>IFERROR(__xludf.DUMMYFUNCTION("""COMPUTED_VALUE"""),"")</f>
        <v/>
      </c>
      <c r="B23" s="14" t="str">
        <f>IFERROR(__xludf.DUMMYFUNCTION("""COMPUTED_VALUE"""),"")</f>
        <v/>
      </c>
      <c r="C23" s="14" t="str">
        <f>IFERROR(__xludf.DUMMYFUNCTION("""COMPUTED_VALUE"""),"")</f>
        <v/>
      </c>
      <c r="D23" s="14" t="str">
        <f>IFERROR(__xludf.DUMMYFUNCTION("""COMPUTED_VALUE"""),"")</f>
        <v/>
      </c>
      <c r="E23" s="14" t="str">
        <f>IFERROR(__xludf.DUMMYFUNCTION("""COMPUTED_VALUE"""),"")</f>
        <v/>
      </c>
      <c r="F23" s="14" t="str">
        <f>IFERROR(__xludf.DUMMYFUNCTION("""COMPUTED_VALUE"""),"")</f>
        <v/>
      </c>
      <c r="G23" s="14" t="str">
        <f>IFERROR(__xludf.DUMMYFUNCTION("""COMPUTED_VALUE"""),"")</f>
        <v/>
      </c>
      <c r="H23" s="14" t="str">
        <f>IFERROR(__xludf.DUMMYFUNCTION("""COMPUTED_VALUE"""),"")</f>
        <v/>
      </c>
      <c r="I23" s="14" t="str">
        <f>IFERROR(__xludf.DUMMYFUNCTION("""COMPUTED_VALUE"""),"")</f>
        <v/>
      </c>
      <c r="J23" s="14" t="str">
        <f>IFERROR(__xludf.DUMMYFUNCTION("""COMPUTED_VALUE"""),"")</f>
        <v/>
      </c>
      <c r="K23" s="14" t="str">
        <f>IFERROR(__xludf.DUMMYFUNCTION("""COMPUTED_VALUE"""),"")</f>
        <v/>
      </c>
      <c r="L23" s="14" t="str">
        <f>IFERROR(__xludf.DUMMYFUNCTION("""COMPUTED_VALUE"""),"")</f>
        <v/>
      </c>
      <c r="M23" s="14" t="str">
        <f>IFERROR(__xludf.DUMMYFUNCTION("""COMPUTED_VALUE"""),"")</f>
        <v/>
      </c>
      <c r="N23" s="14" t="str">
        <f>IFERROR(__xludf.DUMMYFUNCTION("""COMPUTED_VALUE"""),"")</f>
        <v/>
      </c>
      <c r="O23" s="14" t="str">
        <f>IFERROR(__xludf.DUMMYFUNCTION("""COMPUTED_VALUE"""),"")</f>
        <v/>
      </c>
      <c r="P23" s="14" t="str">
        <f>IFERROR(__xludf.DUMMYFUNCTION("""COMPUTED_VALUE"""),"")</f>
        <v/>
      </c>
      <c r="Q23" s="14" t="str">
        <f>IFERROR(__xludf.DUMMYFUNCTION("""COMPUTED_VALUE"""),"")</f>
        <v/>
      </c>
      <c r="R23" s="14" t="str">
        <f>IFERROR(__xludf.DUMMYFUNCTION("""COMPUTED_VALUE"""),"")</f>
        <v/>
      </c>
      <c r="S23" s="14" t="str">
        <f>IFERROR(__xludf.DUMMYFUNCTION("""COMPUTED_VALUE"""),"")</f>
        <v/>
      </c>
      <c r="T23" s="14" t="str">
        <f>IFERROR(__xludf.DUMMYFUNCTION("""COMPUTED_VALUE"""),"")</f>
        <v/>
      </c>
    </row>
    <row r="24">
      <c r="A24" s="14" t="str">
        <f>IFERROR(__xludf.DUMMYFUNCTION("""COMPUTED_VALUE"""),"")</f>
        <v/>
      </c>
      <c r="B24" s="14" t="str">
        <f>IFERROR(__xludf.DUMMYFUNCTION("""COMPUTED_VALUE"""),"")</f>
        <v/>
      </c>
      <c r="C24" s="14" t="str">
        <f>IFERROR(__xludf.DUMMYFUNCTION("""COMPUTED_VALUE"""),"")</f>
        <v/>
      </c>
      <c r="D24" s="14" t="str">
        <f>IFERROR(__xludf.DUMMYFUNCTION("""COMPUTED_VALUE"""),"")</f>
        <v/>
      </c>
      <c r="E24" s="14" t="str">
        <f>IFERROR(__xludf.DUMMYFUNCTION("""COMPUTED_VALUE"""),"")</f>
        <v/>
      </c>
      <c r="F24" s="14" t="str">
        <f>IFERROR(__xludf.DUMMYFUNCTION("""COMPUTED_VALUE"""),"")</f>
        <v/>
      </c>
      <c r="G24" s="14" t="str">
        <f>IFERROR(__xludf.DUMMYFUNCTION("""COMPUTED_VALUE"""),"")</f>
        <v/>
      </c>
      <c r="H24" s="14" t="str">
        <f>IFERROR(__xludf.DUMMYFUNCTION("""COMPUTED_VALUE"""),"")</f>
        <v/>
      </c>
      <c r="I24" s="14" t="str">
        <f>IFERROR(__xludf.DUMMYFUNCTION("""COMPUTED_VALUE"""),"")</f>
        <v/>
      </c>
      <c r="J24" s="14" t="str">
        <f>IFERROR(__xludf.DUMMYFUNCTION("""COMPUTED_VALUE"""),"")</f>
        <v/>
      </c>
      <c r="K24" s="14" t="str">
        <f>IFERROR(__xludf.DUMMYFUNCTION("""COMPUTED_VALUE"""),"")</f>
        <v/>
      </c>
      <c r="L24" s="14" t="str">
        <f>IFERROR(__xludf.DUMMYFUNCTION("""COMPUTED_VALUE"""),"")</f>
        <v/>
      </c>
      <c r="M24" s="14" t="str">
        <f>IFERROR(__xludf.DUMMYFUNCTION("""COMPUTED_VALUE"""),"")</f>
        <v/>
      </c>
      <c r="N24" s="14" t="str">
        <f>IFERROR(__xludf.DUMMYFUNCTION("""COMPUTED_VALUE"""),"")</f>
        <v/>
      </c>
      <c r="O24" s="14" t="str">
        <f>IFERROR(__xludf.DUMMYFUNCTION("""COMPUTED_VALUE"""),"")</f>
        <v/>
      </c>
      <c r="P24" s="14" t="str">
        <f>IFERROR(__xludf.DUMMYFUNCTION("""COMPUTED_VALUE"""),"")</f>
        <v/>
      </c>
      <c r="Q24" s="14" t="str">
        <f>IFERROR(__xludf.DUMMYFUNCTION("""COMPUTED_VALUE"""),"")</f>
        <v/>
      </c>
      <c r="R24" s="14" t="str">
        <f>IFERROR(__xludf.DUMMYFUNCTION("""COMPUTED_VALUE"""),"")</f>
        <v/>
      </c>
      <c r="S24" s="14" t="str">
        <f>IFERROR(__xludf.DUMMYFUNCTION("""COMPUTED_VALUE"""),"")</f>
        <v/>
      </c>
      <c r="T24" s="14" t="str">
        <f>IFERROR(__xludf.DUMMYFUNCTION("""COMPUTED_VALUE"""),"")</f>
        <v/>
      </c>
    </row>
    <row r="25">
      <c r="A25" s="14" t="str">
        <f>IFERROR(__xludf.DUMMYFUNCTION("""COMPUTED_VALUE"""),"")</f>
        <v/>
      </c>
      <c r="B25" s="14" t="str">
        <f>IFERROR(__xludf.DUMMYFUNCTION("""COMPUTED_VALUE"""),"")</f>
        <v/>
      </c>
      <c r="C25" s="14" t="str">
        <f>IFERROR(__xludf.DUMMYFUNCTION("""COMPUTED_VALUE"""),"")</f>
        <v/>
      </c>
      <c r="D25" s="14" t="str">
        <f>IFERROR(__xludf.DUMMYFUNCTION("""COMPUTED_VALUE"""),"")</f>
        <v/>
      </c>
      <c r="E25" s="14" t="str">
        <f>IFERROR(__xludf.DUMMYFUNCTION("""COMPUTED_VALUE"""),"")</f>
        <v/>
      </c>
      <c r="F25" s="14" t="str">
        <f>IFERROR(__xludf.DUMMYFUNCTION("""COMPUTED_VALUE"""),"")</f>
        <v/>
      </c>
      <c r="G25" s="14" t="str">
        <f>IFERROR(__xludf.DUMMYFUNCTION("""COMPUTED_VALUE"""),"")</f>
        <v/>
      </c>
      <c r="H25" s="14" t="str">
        <f>IFERROR(__xludf.DUMMYFUNCTION("""COMPUTED_VALUE"""),"")</f>
        <v/>
      </c>
      <c r="I25" s="14" t="str">
        <f>IFERROR(__xludf.DUMMYFUNCTION("""COMPUTED_VALUE"""),"")</f>
        <v/>
      </c>
      <c r="J25" s="14" t="str">
        <f>IFERROR(__xludf.DUMMYFUNCTION("""COMPUTED_VALUE"""),"")</f>
        <v/>
      </c>
      <c r="K25" s="14" t="str">
        <f>IFERROR(__xludf.DUMMYFUNCTION("""COMPUTED_VALUE"""),"")</f>
        <v/>
      </c>
      <c r="L25" s="14" t="str">
        <f>IFERROR(__xludf.DUMMYFUNCTION("""COMPUTED_VALUE"""),"")</f>
        <v/>
      </c>
      <c r="M25" s="14" t="str">
        <f>IFERROR(__xludf.DUMMYFUNCTION("""COMPUTED_VALUE"""),"")</f>
        <v/>
      </c>
      <c r="N25" s="14" t="str">
        <f>IFERROR(__xludf.DUMMYFUNCTION("""COMPUTED_VALUE"""),"")</f>
        <v/>
      </c>
      <c r="O25" s="14" t="str">
        <f>IFERROR(__xludf.DUMMYFUNCTION("""COMPUTED_VALUE"""),"")</f>
        <v/>
      </c>
      <c r="P25" s="14" t="str">
        <f>IFERROR(__xludf.DUMMYFUNCTION("""COMPUTED_VALUE"""),"")</f>
        <v/>
      </c>
      <c r="Q25" s="14" t="str">
        <f>IFERROR(__xludf.DUMMYFUNCTION("""COMPUTED_VALUE"""),"")</f>
        <v/>
      </c>
      <c r="R25" s="14" t="str">
        <f>IFERROR(__xludf.DUMMYFUNCTION("""COMPUTED_VALUE"""),"")</f>
        <v/>
      </c>
      <c r="S25" s="14" t="str">
        <f>IFERROR(__xludf.DUMMYFUNCTION("""COMPUTED_VALUE"""),"")</f>
        <v/>
      </c>
      <c r="T25" s="14" t="str">
        <f>IFERROR(__xludf.DUMMYFUNCTION("""COMPUTED_VALUE"""),"")</f>
        <v/>
      </c>
    </row>
    <row r="26">
      <c r="A26" s="14" t="str">
        <f>IFERROR(__xludf.DUMMYFUNCTION("""COMPUTED_VALUE"""),"")</f>
        <v/>
      </c>
      <c r="B26" s="14" t="str">
        <f>IFERROR(__xludf.DUMMYFUNCTION("""COMPUTED_VALUE"""),"")</f>
        <v/>
      </c>
      <c r="C26" s="14" t="str">
        <f>IFERROR(__xludf.DUMMYFUNCTION("""COMPUTED_VALUE"""),"")</f>
        <v/>
      </c>
      <c r="D26" s="14" t="str">
        <f>IFERROR(__xludf.DUMMYFUNCTION("""COMPUTED_VALUE"""),"")</f>
        <v/>
      </c>
      <c r="E26" s="14" t="str">
        <f>IFERROR(__xludf.DUMMYFUNCTION("""COMPUTED_VALUE"""),"")</f>
        <v/>
      </c>
      <c r="F26" s="14" t="str">
        <f>IFERROR(__xludf.DUMMYFUNCTION("""COMPUTED_VALUE"""),"")</f>
        <v/>
      </c>
      <c r="G26" s="14" t="str">
        <f>IFERROR(__xludf.DUMMYFUNCTION("""COMPUTED_VALUE"""),"")</f>
        <v/>
      </c>
      <c r="H26" s="14" t="str">
        <f>IFERROR(__xludf.DUMMYFUNCTION("""COMPUTED_VALUE"""),"")</f>
        <v/>
      </c>
      <c r="I26" s="14" t="str">
        <f>IFERROR(__xludf.DUMMYFUNCTION("""COMPUTED_VALUE"""),"")</f>
        <v/>
      </c>
      <c r="J26" s="14" t="str">
        <f>IFERROR(__xludf.DUMMYFUNCTION("""COMPUTED_VALUE"""),"")</f>
        <v/>
      </c>
      <c r="K26" s="14" t="str">
        <f>IFERROR(__xludf.DUMMYFUNCTION("""COMPUTED_VALUE"""),"")</f>
        <v/>
      </c>
      <c r="L26" s="14" t="str">
        <f>IFERROR(__xludf.DUMMYFUNCTION("""COMPUTED_VALUE"""),"")</f>
        <v/>
      </c>
      <c r="M26" s="14" t="str">
        <f>IFERROR(__xludf.DUMMYFUNCTION("""COMPUTED_VALUE"""),"")</f>
        <v/>
      </c>
      <c r="N26" s="14" t="str">
        <f>IFERROR(__xludf.DUMMYFUNCTION("""COMPUTED_VALUE"""),"")</f>
        <v/>
      </c>
      <c r="O26" s="14" t="str">
        <f>IFERROR(__xludf.DUMMYFUNCTION("""COMPUTED_VALUE"""),"")</f>
        <v/>
      </c>
      <c r="P26" s="14" t="str">
        <f>IFERROR(__xludf.DUMMYFUNCTION("""COMPUTED_VALUE"""),"")</f>
        <v/>
      </c>
      <c r="Q26" s="14" t="str">
        <f>IFERROR(__xludf.DUMMYFUNCTION("""COMPUTED_VALUE"""),"")</f>
        <v/>
      </c>
      <c r="R26" s="14" t="str">
        <f>IFERROR(__xludf.DUMMYFUNCTION("""COMPUTED_VALUE"""),"")</f>
        <v/>
      </c>
      <c r="S26" s="14" t="str">
        <f>IFERROR(__xludf.DUMMYFUNCTION("""COMPUTED_VALUE"""),"")</f>
        <v/>
      </c>
      <c r="T26" s="14" t="str">
        <f>IFERROR(__xludf.DUMMYFUNCTION("""COMPUTED_VALUE"""),"")</f>
        <v/>
      </c>
    </row>
    <row r="27">
      <c r="A27" s="14" t="str">
        <f>IFERROR(__xludf.DUMMYFUNCTION("""COMPUTED_VALUE"""),"")</f>
        <v/>
      </c>
      <c r="B27" s="14" t="str">
        <f>IFERROR(__xludf.DUMMYFUNCTION("""COMPUTED_VALUE"""),"")</f>
        <v/>
      </c>
      <c r="C27" s="14" t="str">
        <f>IFERROR(__xludf.DUMMYFUNCTION("""COMPUTED_VALUE"""),"")</f>
        <v/>
      </c>
      <c r="D27" s="14" t="str">
        <f>IFERROR(__xludf.DUMMYFUNCTION("""COMPUTED_VALUE"""),"")</f>
        <v/>
      </c>
      <c r="E27" s="14" t="str">
        <f>IFERROR(__xludf.DUMMYFUNCTION("""COMPUTED_VALUE"""),"")</f>
        <v/>
      </c>
      <c r="F27" s="14" t="str">
        <f>IFERROR(__xludf.DUMMYFUNCTION("""COMPUTED_VALUE"""),"")</f>
        <v/>
      </c>
      <c r="G27" s="14" t="str">
        <f>IFERROR(__xludf.DUMMYFUNCTION("""COMPUTED_VALUE"""),"")</f>
        <v/>
      </c>
      <c r="H27" s="14" t="str">
        <f>IFERROR(__xludf.DUMMYFUNCTION("""COMPUTED_VALUE"""),"")</f>
        <v/>
      </c>
      <c r="I27" s="14" t="str">
        <f>IFERROR(__xludf.DUMMYFUNCTION("""COMPUTED_VALUE"""),"")</f>
        <v/>
      </c>
      <c r="J27" s="14" t="str">
        <f>IFERROR(__xludf.DUMMYFUNCTION("""COMPUTED_VALUE"""),"")</f>
        <v/>
      </c>
      <c r="K27" s="14" t="str">
        <f>IFERROR(__xludf.DUMMYFUNCTION("""COMPUTED_VALUE"""),"")</f>
        <v/>
      </c>
      <c r="L27" s="14" t="str">
        <f>IFERROR(__xludf.DUMMYFUNCTION("""COMPUTED_VALUE"""),"")</f>
        <v/>
      </c>
      <c r="M27" s="14" t="str">
        <f>IFERROR(__xludf.DUMMYFUNCTION("""COMPUTED_VALUE"""),"")</f>
        <v/>
      </c>
      <c r="N27" s="14" t="str">
        <f>IFERROR(__xludf.DUMMYFUNCTION("""COMPUTED_VALUE"""),"")</f>
        <v/>
      </c>
      <c r="O27" s="14" t="str">
        <f>IFERROR(__xludf.DUMMYFUNCTION("""COMPUTED_VALUE"""),"")</f>
        <v/>
      </c>
      <c r="P27" s="14" t="str">
        <f>IFERROR(__xludf.DUMMYFUNCTION("""COMPUTED_VALUE"""),"")</f>
        <v/>
      </c>
      <c r="Q27" s="14" t="str">
        <f>IFERROR(__xludf.DUMMYFUNCTION("""COMPUTED_VALUE"""),"")</f>
        <v/>
      </c>
      <c r="R27" s="14" t="str">
        <f>IFERROR(__xludf.DUMMYFUNCTION("""COMPUTED_VALUE"""),"")</f>
        <v/>
      </c>
      <c r="S27" s="14" t="str">
        <f>IFERROR(__xludf.DUMMYFUNCTION("""COMPUTED_VALUE"""),"")</f>
        <v/>
      </c>
      <c r="T27" s="14" t="str">
        <f>IFERROR(__xludf.DUMMYFUNCTION("""COMPUTED_VALUE"""),"")</f>
        <v/>
      </c>
    </row>
    <row r="28">
      <c r="A28" s="14" t="str">
        <f>IFERROR(__xludf.DUMMYFUNCTION("""COMPUTED_VALUE"""),"")</f>
        <v/>
      </c>
      <c r="B28" s="14" t="str">
        <f>IFERROR(__xludf.DUMMYFUNCTION("""COMPUTED_VALUE"""),"")</f>
        <v/>
      </c>
      <c r="C28" s="14" t="str">
        <f>IFERROR(__xludf.DUMMYFUNCTION("""COMPUTED_VALUE"""),"")</f>
        <v/>
      </c>
      <c r="D28" s="14" t="str">
        <f>IFERROR(__xludf.DUMMYFUNCTION("""COMPUTED_VALUE"""),"")</f>
        <v/>
      </c>
      <c r="E28" s="14" t="str">
        <f>IFERROR(__xludf.DUMMYFUNCTION("""COMPUTED_VALUE"""),"")</f>
        <v/>
      </c>
      <c r="F28" s="14" t="str">
        <f>IFERROR(__xludf.DUMMYFUNCTION("""COMPUTED_VALUE"""),"")</f>
        <v/>
      </c>
      <c r="G28" s="14" t="str">
        <f>IFERROR(__xludf.DUMMYFUNCTION("""COMPUTED_VALUE"""),"")</f>
        <v/>
      </c>
      <c r="H28" s="14" t="str">
        <f>IFERROR(__xludf.DUMMYFUNCTION("""COMPUTED_VALUE"""),"")</f>
        <v/>
      </c>
      <c r="I28" s="14" t="str">
        <f>IFERROR(__xludf.DUMMYFUNCTION("""COMPUTED_VALUE"""),"")</f>
        <v/>
      </c>
      <c r="J28" s="14" t="str">
        <f>IFERROR(__xludf.DUMMYFUNCTION("""COMPUTED_VALUE"""),"")</f>
        <v/>
      </c>
      <c r="K28" s="14" t="str">
        <f>IFERROR(__xludf.DUMMYFUNCTION("""COMPUTED_VALUE"""),"")</f>
        <v/>
      </c>
      <c r="L28" s="14" t="str">
        <f>IFERROR(__xludf.DUMMYFUNCTION("""COMPUTED_VALUE"""),"")</f>
        <v/>
      </c>
      <c r="M28" s="14" t="str">
        <f>IFERROR(__xludf.DUMMYFUNCTION("""COMPUTED_VALUE"""),"")</f>
        <v/>
      </c>
      <c r="N28" s="14" t="str">
        <f>IFERROR(__xludf.DUMMYFUNCTION("""COMPUTED_VALUE"""),"")</f>
        <v/>
      </c>
      <c r="O28" s="14" t="str">
        <f>IFERROR(__xludf.DUMMYFUNCTION("""COMPUTED_VALUE"""),"")</f>
        <v/>
      </c>
      <c r="P28" s="14" t="str">
        <f>IFERROR(__xludf.DUMMYFUNCTION("""COMPUTED_VALUE"""),"")</f>
        <v/>
      </c>
      <c r="Q28" s="14" t="str">
        <f>IFERROR(__xludf.DUMMYFUNCTION("""COMPUTED_VALUE"""),"")</f>
        <v/>
      </c>
      <c r="R28" s="14" t="str">
        <f>IFERROR(__xludf.DUMMYFUNCTION("""COMPUTED_VALUE"""),"")</f>
        <v/>
      </c>
      <c r="S28" s="14" t="str">
        <f>IFERROR(__xludf.DUMMYFUNCTION("""COMPUTED_VALUE"""),"")</f>
        <v/>
      </c>
      <c r="T28" s="14" t="str">
        <f>IFERROR(__xludf.DUMMYFUNCTION("""COMPUTED_VALUE"""),"")</f>
        <v/>
      </c>
    </row>
    <row r="29">
      <c r="A29" s="14" t="str">
        <f>IFERROR(__xludf.DUMMYFUNCTION("""COMPUTED_VALUE"""),"")</f>
        <v/>
      </c>
      <c r="B29" s="14" t="str">
        <f>IFERROR(__xludf.DUMMYFUNCTION("""COMPUTED_VALUE"""),"")</f>
        <v/>
      </c>
      <c r="C29" s="14" t="str">
        <f>IFERROR(__xludf.DUMMYFUNCTION("""COMPUTED_VALUE"""),"")</f>
        <v/>
      </c>
      <c r="D29" s="14" t="str">
        <f>IFERROR(__xludf.DUMMYFUNCTION("""COMPUTED_VALUE"""),"")</f>
        <v/>
      </c>
      <c r="E29" s="14" t="str">
        <f>IFERROR(__xludf.DUMMYFUNCTION("""COMPUTED_VALUE"""),"")</f>
        <v/>
      </c>
      <c r="F29" s="14" t="str">
        <f>IFERROR(__xludf.DUMMYFUNCTION("""COMPUTED_VALUE"""),"")</f>
        <v/>
      </c>
      <c r="G29" s="14" t="str">
        <f>IFERROR(__xludf.DUMMYFUNCTION("""COMPUTED_VALUE"""),"")</f>
        <v/>
      </c>
      <c r="H29" s="14" t="str">
        <f>IFERROR(__xludf.DUMMYFUNCTION("""COMPUTED_VALUE"""),"")</f>
        <v/>
      </c>
      <c r="I29" s="14" t="str">
        <f>IFERROR(__xludf.DUMMYFUNCTION("""COMPUTED_VALUE"""),"")</f>
        <v/>
      </c>
      <c r="J29" s="14" t="str">
        <f>IFERROR(__xludf.DUMMYFUNCTION("""COMPUTED_VALUE"""),"")</f>
        <v/>
      </c>
      <c r="K29" s="14" t="str">
        <f>IFERROR(__xludf.DUMMYFUNCTION("""COMPUTED_VALUE"""),"")</f>
        <v/>
      </c>
      <c r="L29" s="14" t="str">
        <f>IFERROR(__xludf.DUMMYFUNCTION("""COMPUTED_VALUE"""),"")</f>
        <v/>
      </c>
      <c r="M29" s="14" t="str">
        <f>IFERROR(__xludf.DUMMYFUNCTION("""COMPUTED_VALUE"""),"")</f>
        <v/>
      </c>
      <c r="N29" s="14" t="str">
        <f>IFERROR(__xludf.DUMMYFUNCTION("""COMPUTED_VALUE"""),"")</f>
        <v/>
      </c>
      <c r="O29" s="14" t="str">
        <f>IFERROR(__xludf.DUMMYFUNCTION("""COMPUTED_VALUE"""),"")</f>
        <v/>
      </c>
      <c r="P29" s="14" t="str">
        <f>IFERROR(__xludf.DUMMYFUNCTION("""COMPUTED_VALUE"""),"")</f>
        <v/>
      </c>
      <c r="Q29" s="14" t="str">
        <f>IFERROR(__xludf.DUMMYFUNCTION("""COMPUTED_VALUE"""),"")</f>
        <v/>
      </c>
      <c r="R29" s="14" t="str">
        <f>IFERROR(__xludf.DUMMYFUNCTION("""COMPUTED_VALUE"""),"")</f>
        <v/>
      </c>
      <c r="S29" s="14" t="str">
        <f>IFERROR(__xludf.DUMMYFUNCTION("""COMPUTED_VALUE"""),"")</f>
        <v/>
      </c>
      <c r="T29" s="14" t="str">
        <f>IFERROR(__xludf.DUMMYFUNCTION("""COMPUTED_VALUE"""),"")</f>
        <v/>
      </c>
    </row>
    <row r="30">
      <c r="A30" s="14" t="str">
        <f>IFERROR(__xludf.DUMMYFUNCTION("""COMPUTED_VALUE"""),"")</f>
        <v/>
      </c>
      <c r="B30" s="14" t="str">
        <f>IFERROR(__xludf.DUMMYFUNCTION("""COMPUTED_VALUE"""),"")</f>
        <v/>
      </c>
      <c r="C30" s="14" t="str">
        <f>IFERROR(__xludf.DUMMYFUNCTION("""COMPUTED_VALUE"""),"")</f>
        <v/>
      </c>
      <c r="D30" s="14" t="str">
        <f>IFERROR(__xludf.DUMMYFUNCTION("""COMPUTED_VALUE"""),"")</f>
        <v/>
      </c>
      <c r="E30" s="14" t="str">
        <f>IFERROR(__xludf.DUMMYFUNCTION("""COMPUTED_VALUE"""),"")</f>
        <v/>
      </c>
      <c r="F30" s="14" t="str">
        <f>IFERROR(__xludf.DUMMYFUNCTION("""COMPUTED_VALUE"""),"")</f>
        <v/>
      </c>
      <c r="G30" s="14" t="str">
        <f>IFERROR(__xludf.DUMMYFUNCTION("""COMPUTED_VALUE"""),"")</f>
        <v/>
      </c>
      <c r="H30" s="14" t="str">
        <f>IFERROR(__xludf.DUMMYFUNCTION("""COMPUTED_VALUE"""),"")</f>
        <v/>
      </c>
      <c r="I30" s="14" t="str">
        <f>IFERROR(__xludf.DUMMYFUNCTION("""COMPUTED_VALUE"""),"")</f>
        <v/>
      </c>
      <c r="J30" s="14" t="str">
        <f>IFERROR(__xludf.DUMMYFUNCTION("""COMPUTED_VALUE"""),"")</f>
        <v/>
      </c>
      <c r="K30" s="14" t="str">
        <f>IFERROR(__xludf.DUMMYFUNCTION("""COMPUTED_VALUE"""),"")</f>
        <v/>
      </c>
      <c r="L30" s="14" t="str">
        <f>IFERROR(__xludf.DUMMYFUNCTION("""COMPUTED_VALUE"""),"")</f>
        <v/>
      </c>
      <c r="M30" s="14" t="str">
        <f>IFERROR(__xludf.DUMMYFUNCTION("""COMPUTED_VALUE"""),"")</f>
        <v/>
      </c>
      <c r="N30" s="14" t="str">
        <f>IFERROR(__xludf.DUMMYFUNCTION("""COMPUTED_VALUE"""),"")</f>
        <v/>
      </c>
      <c r="O30" s="14" t="str">
        <f>IFERROR(__xludf.DUMMYFUNCTION("""COMPUTED_VALUE"""),"")</f>
        <v/>
      </c>
      <c r="P30" s="14" t="str">
        <f>IFERROR(__xludf.DUMMYFUNCTION("""COMPUTED_VALUE"""),"")</f>
        <v/>
      </c>
      <c r="Q30" s="14" t="str">
        <f>IFERROR(__xludf.DUMMYFUNCTION("""COMPUTED_VALUE"""),"")</f>
        <v/>
      </c>
      <c r="R30" s="14" t="str">
        <f>IFERROR(__xludf.DUMMYFUNCTION("""COMPUTED_VALUE"""),"")</f>
        <v/>
      </c>
      <c r="S30" s="14" t="str">
        <f>IFERROR(__xludf.DUMMYFUNCTION("""COMPUTED_VALUE"""),"")</f>
        <v/>
      </c>
      <c r="T30" s="14" t="str">
        <f>IFERROR(__xludf.DUMMYFUNCTION("""COMPUTED_VALUE"""),"")</f>
        <v/>
      </c>
    </row>
    <row r="31">
      <c r="A31" s="14" t="str">
        <f>IFERROR(__xludf.DUMMYFUNCTION("""COMPUTED_VALUE"""),"")</f>
        <v/>
      </c>
      <c r="B31" s="14" t="str">
        <f>IFERROR(__xludf.DUMMYFUNCTION("""COMPUTED_VALUE"""),"")</f>
        <v/>
      </c>
      <c r="C31" s="14" t="str">
        <f>IFERROR(__xludf.DUMMYFUNCTION("""COMPUTED_VALUE"""),"")</f>
        <v/>
      </c>
      <c r="D31" s="14" t="str">
        <f>IFERROR(__xludf.DUMMYFUNCTION("""COMPUTED_VALUE"""),"")</f>
        <v/>
      </c>
      <c r="E31" s="14" t="str">
        <f>IFERROR(__xludf.DUMMYFUNCTION("""COMPUTED_VALUE"""),"")</f>
        <v/>
      </c>
      <c r="F31" s="14" t="str">
        <f>IFERROR(__xludf.DUMMYFUNCTION("""COMPUTED_VALUE"""),"")</f>
        <v/>
      </c>
      <c r="G31" s="14" t="str">
        <f>IFERROR(__xludf.DUMMYFUNCTION("""COMPUTED_VALUE"""),"")</f>
        <v/>
      </c>
      <c r="H31" s="14" t="str">
        <f>IFERROR(__xludf.DUMMYFUNCTION("""COMPUTED_VALUE"""),"")</f>
        <v/>
      </c>
      <c r="I31" s="14" t="str">
        <f>IFERROR(__xludf.DUMMYFUNCTION("""COMPUTED_VALUE"""),"")</f>
        <v/>
      </c>
      <c r="J31" s="14" t="str">
        <f>IFERROR(__xludf.DUMMYFUNCTION("""COMPUTED_VALUE"""),"")</f>
        <v/>
      </c>
      <c r="K31" s="14" t="str">
        <f>IFERROR(__xludf.DUMMYFUNCTION("""COMPUTED_VALUE"""),"")</f>
        <v/>
      </c>
      <c r="L31" s="14" t="str">
        <f>IFERROR(__xludf.DUMMYFUNCTION("""COMPUTED_VALUE"""),"")</f>
        <v/>
      </c>
      <c r="M31" s="14" t="str">
        <f>IFERROR(__xludf.DUMMYFUNCTION("""COMPUTED_VALUE"""),"")</f>
        <v/>
      </c>
      <c r="N31" s="14" t="str">
        <f>IFERROR(__xludf.DUMMYFUNCTION("""COMPUTED_VALUE"""),"")</f>
        <v/>
      </c>
      <c r="O31" s="14" t="str">
        <f>IFERROR(__xludf.DUMMYFUNCTION("""COMPUTED_VALUE"""),"")</f>
        <v/>
      </c>
      <c r="P31" s="14" t="str">
        <f>IFERROR(__xludf.DUMMYFUNCTION("""COMPUTED_VALUE"""),"")</f>
        <v/>
      </c>
      <c r="Q31" s="14" t="str">
        <f>IFERROR(__xludf.DUMMYFUNCTION("""COMPUTED_VALUE"""),"")</f>
        <v/>
      </c>
      <c r="R31" s="14" t="str">
        <f>IFERROR(__xludf.DUMMYFUNCTION("""COMPUTED_VALUE"""),"")</f>
        <v/>
      </c>
      <c r="S31" s="14" t="str">
        <f>IFERROR(__xludf.DUMMYFUNCTION("""COMPUTED_VALUE"""),"")</f>
        <v/>
      </c>
      <c r="T31" s="14" t="str">
        <f>IFERROR(__xludf.DUMMYFUNCTION("""COMPUTED_VALUE"""),"")</f>
        <v/>
      </c>
    </row>
  </sheetData>
  <drawing r:id="rId1"/>
</worksheet>
</file>